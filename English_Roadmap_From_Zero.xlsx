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README" sheetId="1" r:id="rId1"/>
    <sheet name="TODAY" sheetId="2" r:id="rId2"/>
    <sheet name="PLAN_180" sheetId="3" r:id="rId3"/>
    <sheet name="VOCAB" sheetId="4" r:id="rId4"/>
    <sheet name="DUE" sheetId="5" r:id="rId5"/>
    <sheet name="GRAMMAR" sheetId="6" r:id="rId6"/>
    <sheet name="CURRICULUM" sheetId="7" r:id="rId7"/>
    <sheet name="EXERCISES" sheetId="8" r:id="rId8"/>
    <sheet name="RESOURCES" sheetId="9" r:id="rId9"/>
    <sheet name="PROGRESS" sheetId="10" r:id="rId10"/>
  </sheets>
  <calcPr calcId="191029" fullCalcOnLoad="1"/>
</workbook>
</file>

<file path=xl/styles.xml><?xml version="1.0" encoding="utf-8"?>
<styleSheet xmlns="http://schemas.openxmlformats.org/spreadsheetml/2006/main">
  <numFmts count="1">
    <numFmt numFmtId="20" formatCode="dd/mm/yyyy"/>
  </numFmts>
  <fonts count="2">
    <font>
      <sz val="11"/>
      <color theme="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  <fill>
      <patternFill patternType="solid">
        <fgColor rgb="FFFFF3C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20" fontId="0" fillId="0" borderId="0" xfId="0" applyNumberFormat="1"/>
    <xf numFmtId="0" fontId="0" fillId="0" borderId="0" xfId="0" applyAlignment="1">
      <alignment vertical="top" wrapText="1"/>
    </xf>
    <xf numFmtId="0" fontId="0" fillId="3" borderId="0" xfId="0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4" customWidth="1"/>
    <col min="2" max="2" width="64" customWidth="1"/>
    <col min="3" max="3" width="50" customWidth="1"/>
  </cols>
  <sheetData>
    <row r="1">
      <c r="A1" s="1" t="inlineStr">
        <is>
          <t xml:space="preserve">LỘ TRÌNH 180 NGÀY: MẤT GỐC → A0 → A1 → A2 → B1</t>
        </is>
      </c>
    </row>
    <row r="3">
      <c r="A3" t="inlineStr">
        <is>
          <t xml:space="preserve">Sinh từ data/roadmap/*.json + src/content/vocabulary/ · chạy `npm run roadmap` · Ngày bắt đầu: 2026-10-05</t>
        </is>
      </c>
    </row>
    <row r="4">
      <c r="A4" t="inlineStr">
        <is>
          <t xml:space="preserve">Ô nền vàng là ô BẠN GÕ. Ô khác tự tính hoặc do script ghi — gõ vào đó sẽ bị lần chạy sau xoá.</t>
        </is>
      </c>
    </row>
    <row r="6">
      <c r="A6" s="1" t="inlineStr">
        <is>
          <t xml:space="preserve">Sheet</t>
        </is>
      </c>
      <c r="B6" s="1" t="inlineStr">
        <is>
          <t xml:space="preserve">Để làm gì</t>
        </is>
      </c>
      <c r="C6" s="1" t="inlineStr">
        <is>
          <t xml:space="preserve">Bạn gõ gì ở đó</t>
        </is>
      </c>
    </row>
    <row r="7">
      <c r="A7" t="inlineStr">
        <is>
          <t xml:space="preserve">TODAY</t>
        </is>
      </c>
      <c r="B7" s="3" t="inlineStr">
        <is>
          <t xml:space="preserve">Hôm nay học gì: ngày thứ mấy, chủ đề, từ mới, từ đến hạn ôn</t>
        </is>
      </c>
      <c r="C7" s="3" t="inlineStr">
        <is>
          <t xml:space="preserve">Không gõ gì</t>
        </is>
      </c>
    </row>
    <row r="8">
      <c r="A8" t="inlineStr">
        <is>
          <t xml:space="preserve">PLAN_180</t>
        </is>
      </c>
      <c r="B8" s="3" t="inlineStr">
        <is>
          <t xml:space="preserve">180 dòng lịch học, đã gắn ngày, chủ đề, ngữ pháp, danh sách từ</t>
        </is>
      </c>
      <c r="C8" s="3" t="inlineStr">
        <is>
          <t xml:space="preserve">Không gõ gì</t>
        </is>
      </c>
    </row>
    <row r="9">
      <c r="A9" t="inlineStr">
        <is>
          <t xml:space="preserve">PROGRESS</t>
        </is>
      </c>
      <c r="B9" s="3" t="inlineStr">
        <is>
          <t xml:space="preserve">Sổ theo dõi mỗi ngày</t>
        </is>
      </c>
      <c r="C9" s="3" t="inlineStr">
        <is>
          <t xml:space="preserve">Hoàn thành (Yes/No), 6 điểm kỹ năng, ghi chú</t>
        </is>
      </c>
    </row>
    <row r="10">
      <c r="A10" t="inlineStr">
        <is>
          <t xml:space="preserve">VOCAB</t>
        </is>
      </c>
      <c r="B10" s="3" t="inlineStr">
        <is>
          <t xml:space="preserve">Toàn bộ từ vựng của lộ trình</t>
        </is>
      </c>
      <c r="C10" s="3" t="inlineStr">
        <is>
          <t xml:space="preserve">Không gõ gì</t>
        </is>
      </c>
    </row>
    <row r="11">
      <c r="A11" t="inlineStr">
        <is>
          <t xml:space="preserve">DUE</t>
        </is>
      </c>
      <c r="B11" s="3" t="inlineStr">
        <is>
          <t xml:space="preserve">Sổ ôn lặp lại (1-1-2-4-7-14 ngày)</t>
        </is>
      </c>
      <c r="C11" s="3" t="inlineStr">
        <is>
          <t xml:space="preserve">Mastery 0-5, số lần đúng, ngày vừa ôn</t>
        </is>
      </c>
    </row>
    <row r="12">
      <c r="A12" t="inlineStr">
        <is>
          <t xml:space="preserve">GRAMMAR</t>
        </is>
      </c>
      <c r="B12" s="3" t="inlineStr">
        <is>
          <t xml:space="preserve">Ngữ pháp A0→B1</t>
        </is>
      </c>
      <c r="C12" s="3" t="inlineStr">
        <is>
          <t xml:space="preserve">Mastery 0-5, ngày học gần nhất</t>
        </is>
      </c>
    </row>
    <row r="13">
      <c r="A13" t="inlineStr">
        <is>
          <t xml:space="preserve">CURRICULUM</t>
        </is>
      </c>
      <c r="B13" s="3" t="inlineStr">
        <is>
          <t xml:space="preserve">35 chủ đề: mấy ngày trong lịch, đã xong bao nhiêu</t>
        </is>
      </c>
      <c r="C13" s="3" t="inlineStr">
        <is>
          <t xml:space="preserve">Không gõ gì</t>
        </is>
      </c>
    </row>
    <row r="14">
      <c r="A14" t="inlineStr">
        <is>
          <t xml:space="preserve">EXERCISES</t>
        </is>
      </c>
      <c r="B14" s="3" t="inlineStr">
        <is>
          <t xml:space="preserve">Ngân hàng câu hỏi</t>
        </is>
      </c>
      <c r="C14" s="3" t="inlineStr">
        <is>
          <t xml:space="preserve">Không gõ gì</t>
        </is>
      </c>
    </row>
    <row r="15">
      <c r="A15" t="inlineStr">
        <is>
          <t xml:space="preserve">RESOURCES</t>
        </is>
      </c>
      <c r="B15" s="3" t="inlineStr">
        <is>
          <t xml:space="preserve">5 nguồn học miễn phí</t>
        </is>
      </c>
      <c r="C15" s="3" t="inlineStr">
        <is>
          <t xml:space="preserve">Không gõ gì</t>
        </is>
      </c>
    </row>
    <row r="17">
      <c r="A17" s="1" t="inlineStr">
        <is>
          <t xml:space="preserve">Mỗi ngày</t>
        </is>
      </c>
    </row>
    <row r="18">
      <c r="A18" t="inlineStr">
        <is>
          <t xml:space="preserve">1. Mở TODAY: xem chủ đề, từ mới và số từ ĐẾN HẠN ÔN.</t>
        </is>
      </c>
    </row>
    <row r="19">
      <c r="A19" t="inlineStr">
        <is>
          <t xml:space="preserve">2. Học theo dòng của PLAN_180: Nghe / Nói / Đọc / Viết, tổng 60 phút.</t>
        </is>
      </c>
    </row>
    <row r="20">
      <c r="A20" t="inlineStr">
        <is>
          <t xml:space="preserve">3. Tối về: PROGRESS → chọn Yes ở cột Hoàn thành, chấm 6 điểm kỹ năng 0–100.</t>
        </is>
      </c>
    </row>
    <row r="21">
      <c r="A21" t="inlineStr">
        <is>
          <t xml:space="preserve">4. Ôn: DUE → gõ Mastery 0–5 và ngày vừa ôn; ngày ôn tới tự tính.</t>
        </is>
      </c>
    </row>
    <row r="22">
      <c r="A22" t="inlineStr">
        <is>
          <t xml:space="preserve">5. Điểm dưới 70%: hôm sau làm lại chủ đề đó trước khi học cái mới.</t>
        </is>
      </c>
    </row>
    <row r="24">
      <c r="A24" s="1" t="inlineStr">
        <is>
          <t xml:space="preserve">Số liệu thật của lộ trình này</t>
        </is>
      </c>
    </row>
    <row r="25">
      <c r="A25" t="inlineStr">
        <is>
          <t xml:space="preserve">Ngày 1 = 2026-10-05, ngày 180 = 2027-04-02.</t>
        </is>
      </c>
    </row>
    <row r="26">
      <c r="A26" t="inlineStr">
        <is>
          <t xml:space="preserve">Từ vựng đang có: 248 (A0 167 · A1 29 · A2 26 · B1 26). Cần 1324 từ nữa để phủ kín 180 ngày — bắt đầu hụt từ ngày 24.</t>
        </is>
      </c>
    </row>
    <row r="27">
      <c r="A27" t="inlineStr">
        <is>
          <t xml:space="preserve">Ngữ pháp: 25 điểm · Chủ đề: 35 · Ngày có test: 26 · Test chốt level: A0@tuần 4, A1@tuần 10, A2@tuần 16, B1@tuần 26.</t>
        </is>
      </c>
    </row>
    <row r="28">
      <c r="A28" t="inlineStr">
        <is>
          <t xml:space="preserve">Đổi ngày bắt đầu: sửa data/roadmap/config.json rồi chạy npm run roadmap, cả 180 ngày tính lại.</t>
        </is>
      </c>
    </row>
  </sheetData>
  <pageMargins left="0.4" right="0.4" top="0.6" bottom="0.6" header="0.3" footer="0.3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30" customWidth="1"/>
    <col min="2" max="2" width="24" customWidth="1"/>
    <col min="3" max="3" width="26" customWidth="1"/>
    <col min="4" max="4" width="44" customWidth="1"/>
    <col min="5" max="5" width="8" customWidth="1"/>
  </cols>
  <sheetData>
    <row r="1">
      <c r="A1" s="1" t="inlineStr">
        <is>
          <t xml:space="preserve">HÔM NAY HỌC GÌ</t>
        </is>
      </c>
    </row>
    <row r="3">
      <c r="A3" t="inlineStr">
        <is>
          <t xml:space="preserve">Hôm nay là ngày</t>
        </is>
      </c>
      <c r="B3" s="2">
        <f>TODAY()</f>
      </c>
    </row>
    <row r="4">
      <c r="A4" t="inlineStr">
        <is>
          <t xml:space="preserve">Thứ tự trong lộ trình (1→180)</t>
        </is>
      </c>
      <c r="B4">
        <f>IFERROR(MATCH(TODAY(),PLAN_180!$B$2:$B$181,0),"—")</f>
      </c>
    </row>
    <row r="5">
      <c r="A5" t="inlineStr">
        <is>
          <t xml:space="preserve">Level</t>
        </is>
      </c>
      <c r="B5">
        <f>IFERROR(INDEX(PLAN_180!$D$2:$D$181,$B$4),"")</f>
      </c>
    </row>
    <row r="6">
      <c r="A6" t="inlineStr">
        <is>
          <t xml:space="preserve">Tuần</t>
        </is>
      </c>
      <c r="B6">
        <f>IFERROR(INDEX(PLAN_180!$C$2:$C$181,$B$4),"")</f>
      </c>
    </row>
    <row r="7">
      <c r="A7" t="inlineStr">
        <is>
          <t xml:space="preserve">Giai đoạn của tuần</t>
        </is>
      </c>
      <c r="B7">
        <f>IFERROR(INDEX(PLAN_180!$E$2:$E$181,$B$4),"")</f>
      </c>
    </row>
    <row r="8">
      <c r="A8" t="inlineStr">
        <is>
          <t xml:space="preserve">Dạng bài hôm nay</t>
        </is>
      </c>
      <c r="B8">
        <f>IFERROR(INDEX(PLAN_180!$F$2:$F$181,$B$4),"")</f>
      </c>
    </row>
    <row r="9">
      <c r="A9" t="inlineStr">
        <is>
          <t xml:space="preserve">Chủ đề</t>
        </is>
      </c>
      <c r="B9">
        <f>IFERROR(INDEX(PLAN_180!$H$2:$H$181,$B$4),"")</f>
      </c>
    </row>
    <row r="10">
      <c r="A10" t="inlineStr">
        <is>
          <t xml:space="preserve">Ngữ pháp</t>
        </is>
      </c>
      <c r="B10">
        <f>IFERROR(INDEX(PLAN_180!$I$2:$I$181,$B$4),"")</f>
      </c>
    </row>
    <row r="11">
      <c r="A11" t="inlineStr">
        <is>
          <t xml:space="preserve">Nghe</t>
        </is>
      </c>
      <c r="B11">
        <f>IFERROR(INDEX(PLAN_180!$L$2:$L$181,$B$4),"")</f>
      </c>
    </row>
    <row r="12">
      <c r="A12" t="inlineStr">
        <is>
          <t xml:space="preserve">Nói</t>
        </is>
      </c>
      <c r="B12">
        <f>IFERROR(INDEX(PLAN_180!$M$2:$M$181,$B$4),"")</f>
      </c>
    </row>
    <row r="13">
      <c r="A13" t="inlineStr">
        <is>
          <t xml:space="preserve">Đọc</t>
        </is>
      </c>
      <c r="B13">
        <f>IFERROR(INDEX(PLAN_180!$N$2:$N$181,$B$4),"")</f>
      </c>
    </row>
    <row r="14">
      <c r="A14" t="inlineStr">
        <is>
          <t xml:space="preserve">Viết</t>
        </is>
      </c>
      <c r="B14">
        <f>IFERROR(INDEX(PLAN_180!$O$2:$O$181,$B$4),"")</f>
      </c>
    </row>
    <row r="15">
      <c r="A15" t="inlineStr">
        <is>
          <t xml:space="preserve">Số phút</t>
        </is>
      </c>
      <c r="B15">
        <f>IFERROR(INDEX(PLAN_180!$Q$2:$Q$181,$B$4),"")</f>
      </c>
    </row>
    <row r="16">
      <c r="A16" t="inlineStr">
        <is>
          <t xml:space="preserve">Test hôm nay</t>
        </is>
      </c>
      <c r="B16">
        <f>IFERROR(INDEX(PLAN_180!$R$2:$R$181,$B$4),"")</f>
      </c>
    </row>
    <row r="18">
      <c r="A18" s="1" t="inlineStr">
        <is>
          <t xml:space="preserve">#</t>
        </is>
      </c>
      <c r="B18" s="1" t="inlineStr">
        <is>
          <t xml:space="preserve">Từ mới hôm nay</t>
        </is>
      </c>
      <c r="C18" s="1" t="inlineStr">
        <is>
          <t xml:space="preserve">Nghĩa tiếng Việt</t>
        </is>
      </c>
      <c r="D18" s="1" t="inlineStr">
        <is>
          <t xml:space="preserve">Ví dụ</t>
        </is>
      </c>
      <c r="E18" s="1" t="inlineStr">
        <is>
          <t xml:space="preserve">dòng</t>
        </is>
      </c>
    </row>
    <row r="19">
      <c r="A19">
        <v>1</v>
      </c>
      <c r="B19">
        <f>IFERROR(INDEX(VOCAB!$E$2:$E$1500,$E19),"")</f>
      </c>
      <c r="C19">
        <f>IFERROR(INDEX(VOCAB!$F$2:$F$1500,$E19),"")</f>
      </c>
      <c r="D19">
        <f>IFERROR(INDEX(VOCAB!$H$2:$H$1500,$E19),"")</f>
      </c>
      <c r="E19">
        <f>IFERROR(MATCH($A19,VOCAB!$L$2:$L$1500,0),"")</f>
      </c>
    </row>
    <row r="20">
      <c r="A20">
        <v>2</v>
      </c>
      <c r="B20">
        <f>IFERROR(INDEX(VOCAB!$E$2:$E$1500,$E20),"")</f>
      </c>
      <c r="C20">
        <f>IFERROR(INDEX(VOCAB!$F$2:$F$1500,$E20),"")</f>
      </c>
      <c r="D20">
        <f>IFERROR(INDEX(VOCAB!$H$2:$H$1500,$E20),"")</f>
      </c>
      <c r="E20">
        <f>IFERROR(MATCH($A20,VOCAB!$L$2:$L$1500,0),"")</f>
      </c>
    </row>
    <row r="21">
      <c r="A21">
        <v>3</v>
      </c>
      <c r="B21">
        <f>IFERROR(INDEX(VOCAB!$E$2:$E$1500,$E21),"")</f>
      </c>
      <c r="C21">
        <f>IFERROR(INDEX(VOCAB!$F$2:$F$1500,$E21),"")</f>
      </c>
      <c r="D21">
        <f>IFERROR(INDEX(VOCAB!$H$2:$H$1500,$E21),"")</f>
      </c>
      <c r="E21">
        <f>IFERROR(MATCH($A21,VOCAB!$L$2:$L$1500,0),"")</f>
      </c>
    </row>
    <row r="22">
      <c r="A22">
        <v>4</v>
      </c>
      <c r="B22">
        <f>IFERROR(INDEX(VOCAB!$E$2:$E$1500,$E22),"")</f>
      </c>
      <c r="C22">
        <f>IFERROR(INDEX(VOCAB!$F$2:$F$1500,$E22),"")</f>
      </c>
      <c r="D22">
        <f>IFERROR(INDEX(VOCAB!$H$2:$H$1500,$E22),"")</f>
      </c>
      <c r="E22">
        <f>IFERROR(MATCH($A22,VOCAB!$L$2:$L$1500,0),"")</f>
      </c>
    </row>
    <row r="23">
      <c r="A23">
        <v>5</v>
      </c>
      <c r="B23">
        <f>IFERROR(INDEX(VOCAB!$E$2:$E$1500,$E23),"")</f>
      </c>
      <c r="C23">
        <f>IFERROR(INDEX(VOCAB!$F$2:$F$1500,$E23),"")</f>
      </c>
      <c r="D23">
        <f>IFERROR(INDEX(VOCAB!$H$2:$H$1500,$E23),"")</f>
      </c>
      <c r="E23">
        <f>IFERROR(MATCH($A23,VOCAB!$L$2:$L$1500,0),"")</f>
      </c>
    </row>
    <row r="24">
      <c r="A24">
        <v>6</v>
      </c>
      <c r="B24">
        <f>IFERROR(INDEX(VOCAB!$E$2:$E$1500,$E24),"")</f>
      </c>
      <c r="C24">
        <f>IFERROR(INDEX(VOCAB!$F$2:$F$1500,$E24),"")</f>
      </c>
      <c r="D24">
        <f>IFERROR(INDEX(VOCAB!$H$2:$H$1500,$E24),"")</f>
      </c>
      <c r="E24">
        <f>IFERROR(MATCH($A24,VOCAB!$L$2:$L$1500,0),"")</f>
      </c>
    </row>
    <row r="25">
      <c r="A25">
        <v>7</v>
      </c>
      <c r="B25">
        <f>IFERROR(INDEX(VOCAB!$E$2:$E$1500,$E25),"")</f>
      </c>
      <c r="C25">
        <f>IFERROR(INDEX(VOCAB!$F$2:$F$1500,$E25),"")</f>
      </c>
      <c r="D25">
        <f>IFERROR(INDEX(VOCAB!$H$2:$H$1500,$E25),"")</f>
      </c>
      <c r="E25">
        <f>IFERROR(MATCH($A25,VOCAB!$L$2:$L$1500,0),"")</f>
      </c>
    </row>
    <row r="26">
      <c r="A26">
        <v>8</v>
      </c>
      <c r="B26">
        <f>IFERROR(INDEX(VOCAB!$E$2:$E$1500,$E26),"")</f>
      </c>
      <c r="C26">
        <f>IFERROR(INDEX(VOCAB!$F$2:$F$1500,$E26),"")</f>
      </c>
      <c r="D26">
        <f>IFERROR(INDEX(VOCAB!$H$2:$H$1500,$E26),"")</f>
      </c>
      <c r="E26">
        <f>IFERROR(MATCH($A26,VOCAB!$L$2:$L$1500,0),"")</f>
      </c>
    </row>
    <row r="27">
      <c r="A27">
        <v>9</v>
      </c>
      <c r="B27">
        <f>IFERROR(INDEX(VOCAB!$E$2:$E$1500,$E27),"")</f>
      </c>
      <c r="C27">
        <f>IFERROR(INDEX(VOCAB!$F$2:$F$1500,$E27),"")</f>
      </c>
      <c r="D27">
        <f>IFERROR(INDEX(VOCAB!$H$2:$H$1500,$E27),"")</f>
      </c>
      <c r="E27">
        <f>IFERROR(MATCH($A27,VOCAB!$L$2:$L$1500,0),"")</f>
      </c>
    </row>
    <row r="28">
      <c r="A28">
        <v>10</v>
      </c>
      <c r="B28">
        <f>IFERROR(INDEX(VOCAB!$E$2:$E$1500,$E28),"")</f>
      </c>
      <c r="C28">
        <f>IFERROR(INDEX(VOCAB!$F$2:$F$1500,$E28),"")</f>
      </c>
      <c r="D28">
        <f>IFERROR(INDEX(VOCAB!$H$2:$H$1500,$E28),"")</f>
      </c>
      <c r="E28">
        <f>IFERROR(MATCH($A28,VOCAB!$L$2:$L$1500,0),"")</f>
      </c>
    </row>
    <row r="29">
      <c r="A29">
        <v>11</v>
      </c>
      <c r="B29">
        <f>IFERROR(INDEX(VOCAB!$E$2:$E$1500,$E29),"")</f>
      </c>
      <c r="C29">
        <f>IFERROR(INDEX(VOCAB!$F$2:$F$1500,$E29),"")</f>
      </c>
      <c r="D29">
        <f>IFERROR(INDEX(VOCAB!$H$2:$H$1500,$E29),"")</f>
      </c>
      <c r="E29">
        <f>IFERROR(MATCH($A29,VOCAB!$L$2:$L$1500,0),"")</f>
      </c>
    </row>
    <row r="30">
      <c r="A30">
        <v>12</v>
      </c>
      <c r="B30">
        <f>IFERROR(INDEX(VOCAB!$E$2:$E$1500,$E30),"")</f>
      </c>
      <c r="C30">
        <f>IFERROR(INDEX(VOCAB!$F$2:$F$1500,$E30),"")</f>
      </c>
      <c r="D30">
        <f>IFERROR(INDEX(VOCAB!$H$2:$H$1500,$E30),"")</f>
      </c>
      <c r="E30">
        <f>IFERROR(MATCH($A30,VOCAB!$L$2:$L$1500,0),"")</f>
      </c>
    </row>
    <row r="31">
      <c r="A31">
        <v>13</v>
      </c>
      <c r="B31">
        <f>IFERROR(INDEX(VOCAB!$E$2:$E$1500,$E31),"")</f>
      </c>
      <c r="C31">
        <f>IFERROR(INDEX(VOCAB!$F$2:$F$1500,$E31),"")</f>
      </c>
      <c r="D31">
        <f>IFERROR(INDEX(VOCAB!$H$2:$H$1500,$E31),"")</f>
      </c>
      <c r="E31">
        <f>IFERROR(MATCH($A31,VOCAB!$L$2:$L$1500,0),"")</f>
      </c>
    </row>
    <row r="32">
      <c r="A32">
        <v>14</v>
      </c>
      <c r="B32">
        <f>IFERROR(INDEX(VOCAB!$E$2:$E$1500,$E32),"")</f>
      </c>
      <c r="C32">
        <f>IFERROR(INDEX(VOCAB!$F$2:$F$1500,$E32),"")</f>
      </c>
      <c r="D32">
        <f>IFERROR(INDEX(VOCAB!$H$2:$H$1500,$E32),"")</f>
      </c>
      <c r="E32">
        <f>IFERROR(MATCH($A32,VOCAB!$L$2:$L$1500,0),"")</f>
      </c>
    </row>
    <row r="34">
      <c r="A34" s="1" t="inlineStr">
        <is>
          <t xml:space="preserve">#</t>
        </is>
      </c>
      <c r="B34" s="1" t="inlineStr">
        <is>
          <t xml:space="preserve">Từ đến hạn ôn</t>
        </is>
      </c>
      <c r="C34" s="1" t="inlineStr">
        <is>
          <t xml:space="preserve">Nghĩa tiếng Việt</t>
        </is>
      </c>
      <c r="D34" s="1" t="inlineStr">
        <is>
          <t xml:space="preserve">Ví dụ</t>
        </is>
      </c>
      <c r="E34" s="1" t="inlineStr">
        <is>
          <t xml:space="preserve">dòng</t>
        </is>
      </c>
    </row>
    <row r="35">
      <c r="A35">
        <v>1</v>
      </c>
      <c r="B35">
        <f>IFERROR(INDEX(DUE!$B$2:$B$1500,$E35),"")</f>
      </c>
      <c r="C35">
        <f>IFERROR(INDEX(DUE!$C$2:$C$1500,$E35),"")</f>
      </c>
      <c r="D35">
        <f>IFERROR(INDEX(DUE!$D$2:$D$1500,$E35),"")</f>
      </c>
      <c r="E35">
        <f>IFERROR(MATCH($A35,DUE!$J$2:$J$1500,0),"")</f>
      </c>
    </row>
    <row r="36">
      <c r="A36">
        <v>2</v>
      </c>
      <c r="B36">
        <f>IFERROR(INDEX(DUE!$B$2:$B$1500,$E36),"")</f>
      </c>
      <c r="C36">
        <f>IFERROR(INDEX(DUE!$C$2:$C$1500,$E36),"")</f>
      </c>
      <c r="D36">
        <f>IFERROR(INDEX(DUE!$D$2:$D$1500,$E36),"")</f>
      </c>
      <c r="E36">
        <f>IFERROR(MATCH($A36,DUE!$J$2:$J$1500,0),"")</f>
      </c>
    </row>
    <row r="37">
      <c r="A37">
        <v>3</v>
      </c>
      <c r="B37">
        <f>IFERROR(INDEX(DUE!$B$2:$B$1500,$E37),"")</f>
      </c>
      <c r="C37">
        <f>IFERROR(INDEX(DUE!$C$2:$C$1500,$E37),"")</f>
      </c>
      <c r="D37">
        <f>IFERROR(INDEX(DUE!$D$2:$D$1500,$E37),"")</f>
      </c>
      <c r="E37">
        <f>IFERROR(MATCH($A37,DUE!$J$2:$J$1500,0),"")</f>
      </c>
    </row>
    <row r="38">
      <c r="A38">
        <v>4</v>
      </c>
      <c r="B38">
        <f>IFERROR(INDEX(DUE!$B$2:$B$1500,$E38),"")</f>
      </c>
      <c r="C38">
        <f>IFERROR(INDEX(DUE!$C$2:$C$1500,$E38),"")</f>
      </c>
      <c r="D38">
        <f>IFERROR(INDEX(DUE!$D$2:$D$1500,$E38),"")</f>
      </c>
      <c r="E38">
        <f>IFERROR(MATCH($A38,DUE!$J$2:$J$1500,0),"")</f>
      </c>
    </row>
    <row r="39">
      <c r="A39">
        <v>5</v>
      </c>
      <c r="B39">
        <f>IFERROR(INDEX(DUE!$B$2:$B$1500,$E39),"")</f>
      </c>
      <c r="C39">
        <f>IFERROR(INDEX(DUE!$C$2:$C$1500,$E39),"")</f>
      </c>
      <c r="D39">
        <f>IFERROR(INDEX(DUE!$D$2:$D$1500,$E39),"")</f>
      </c>
      <c r="E39">
        <f>IFERROR(MATCH($A39,DUE!$J$2:$J$1500,0),"")</f>
      </c>
    </row>
    <row r="40">
      <c r="A40">
        <v>6</v>
      </c>
      <c r="B40">
        <f>IFERROR(INDEX(DUE!$B$2:$B$1500,$E40),"")</f>
      </c>
      <c r="C40">
        <f>IFERROR(INDEX(DUE!$C$2:$C$1500,$E40),"")</f>
      </c>
      <c r="D40">
        <f>IFERROR(INDEX(DUE!$D$2:$D$1500,$E40),"")</f>
      </c>
      <c r="E40">
        <f>IFERROR(MATCH($A40,DUE!$J$2:$J$1500,0),"")</f>
      </c>
    </row>
    <row r="41">
      <c r="A41">
        <v>7</v>
      </c>
      <c r="B41">
        <f>IFERROR(INDEX(DUE!$B$2:$B$1500,$E41),"")</f>
      </c>
      <c r="C41">
        <f>IFERROR(INDEX(DUE!$C$2:$C$1500,$E41),"")</f>
      </c>
      <c r="D41">
        <f>IFERROR(INDEX(DUE!$D$2:$D$1500,$E41),"")</f>
      </c>
      <c r="E41">
        <f>IFERROR(MATCH($A41,DUE!$J$2:$J$1500,0),"")</f>
      </c>
    </row>
    <row r="42">
      <c r="A42">
        <v>8</v>
      </c>
      <c r="B42">
        <f>IFERROR(INDEX(DUE!$B$2:$B$1500,$E42),"")</f>
      </c>
      <c r="C42">
        <f>IFERROR(INDEX(DUE!$C$2:$C$1500,$E42),"")</f>
      </c>
      <c r="D42">
        <f>IFERROR(INDEX(DUE!$D$2:$D$1500,$E42),"")</f>
      </c>
      <c r="E42">
        <f>IFERROR(MATCH($A42,DUE!$J$2:$J$1500,0),"")</f>
      </c>
    </row>
    <row r="43">
      <c r="A43">
        <v>9</v>
      </c>
      <c r="B43">
        <f>IFERROR(INDEX(DUE!$B$2:$B$1500,$E43),"")</f>
      </c>
      <c r="C43">
        <f>IFERROR(INDEX(DUE!$C$2:$C$1500,$E43),"")</f>
      </c>
      <c r="D43">
        <f>IFERROR(INDEX(DUE!$D$2:$D$1500,$E43),"")</f>
      </c>
      <c r="E43">
        <f>IFERROR(MATCH($A43,DUE!$J$2:$J$1500,0),"")</f>
      </c>
    </row>
    <row r="44">
      <c r="A44">
        <v>10</v>
      </c>
      <c r="B44">
        <f>IFERROR(INDEX(DUE!$B$2:$B$1500,$E44),"")</f>
      </c>
      <c r="C44">
        <f>IFERROR(INDEX(DUE!$C$2:$C$1500,$E44),"")</f>
      </c>
      <c r="D44">
        <f>IFERROR(INDEX(DUE!$D$2:$D$1500,$E44),"")</f>
      </c>
      <c r="E44">
        <f>IFERROR(MATCH($A44,DUE!$J$2:$J$1500,0),"")</f>
      </c>
    </row>
    <row r="45">
      <c r="A45">
        <v>11</v>
      </c>
      <c r="B45">
        <f>IFERROR(INDEX(DUE!$B$2:$B$1500,$E45),"")</f>
      </c>
      <c r="C45">
        <f>IFERROR(INDEX(DUE!$C$2:$C$1500,$E45),"")</f>
      </c>
      <c r="D45">
        <f>IFERROR(INDEX(DUE!$D$2:$D$1500,$E45),"")</f>
      </c>
      <c r="E45">
        <f>IFERROR(MATCH($A45,DUE!$J$2:$J$1500,0),"")</f>
      </c>
    </row>
    <row r="46">
      <c r="A46">
        <v>12</v>
      </c>
      <c r="B46">
        <f>IFERROR(INDEX(DUE!$B$2:$B$1500,$E46),"")</f>
      </c>
      <c r="C46">
        <f>IFERROR(INDEX(DUE!$C$2:$C$1500,$E46),"")</f>
      </c>
      <c r="D46">
        <f>IFERROR(INDEX(DUE!$D$2:$D$1500,$E46),"")</f>
      </c>
      <c r="E46">
        <f>IFERROR(MATCH($A46,DUE!$J$2:$J$1500,0),"")</f>
      </c>
    </row>
    <row r="48">
      <c r="A48" s="1" t="inlineStr">
        <is>
          <t xml:space="preserve">Tổng tiến độ</t>
        </is>
      </c>
    </row>
    <row r="49">
      <c r="A49" t="inlineStr">
        <is>
          <t xml:space="preserve">Số ngày đã hoàn thành</t>
        </is>
      </c>
      <c r="B49">
        <f>COUNTIF(PROGRESS!$E$2:$E$181,"Yes")</f>
      </c>
      <c r="C49" t="inlineStr">
        <is>
          <t xml:space="preserve">trên 180 ngày</t>
        </is>
      </c>
    </row>
    <row r="50">
      <c r="A50" t="inlineStr">
        <is>
          <t xml:space="preserve">Tỷ lệ hoàn thành</t>
        </is>
      </c>
      <c r="B50">
        <f>IFERROR(ROUND(B49/180*100,0)&amp;"%","—")</f>
      </c>
    </row>
    <row r="51">
      <c r="A51" t="inlineStr">
        <is>
          <t xml:space="preserve">Điểm trung bình 6 kỹ năng</t>
        </is>
      </c>
      <c r="B51">
        <f>IFERROR(ROUND(AVERAGE(PROGRESS!$L$2:$L$181),0),"chưa có điểm")</f>
      </c>
    </row>
    <row r="52">
      <c r="A52" t="inlineStr">
        <is>
          <t xml:space="preserve">Số từ đến hạn ôn hôm nay</t>
        </is>
      </c>
      <c r="B52">
        <f>COUNTIF(DUE!$I$2:$I$1500,"ĐẾN HẠN")</f>
      </c>
    </row>
    <row r="53">
      <c r="A53" t="inlineStr">
        <is>
          <t xml:space="preserve">Số điểm ngữ pháp đến hạn ôn</t>
        </is>
      </c>
      <c r="B53">
        <f>COUNTIF(GRAMMAR!$K$2:$K$60,"ĐẾN HẠN")</f>
      </c>
    </row>
  </sheetData>
  <pageMargins left="0.4" right="0.4" top="0.6" bottom="0.6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7" customWidth="1"/>
    <col min="2" max="2" width="12" customWidth="1"/>
    <col min="3" max="3" width="6" customWidth="1"/>
    <col min="4" max="4" width="7" customWidth="1"/>
    <col min="5" max="5" width="30" customWidth="1"/>
    <col min="6" max="6" width="20" customWidth="1"/>
    <col min="7" max="7" width="11" customWidth="1"/>
    <col min="8" max="8" width="26" customWidth="1"/>
    <col min="9" max="9" width="24" customWidth="1"/>
    <col min="10" max="10" width="42" customWidth="1"/>
    <col min="11" max="11" width="8" customWidth="1"/>
    <col min="12" max="12" width="22" customWidth="1"/>
    <col min="13" max="13" width="22" customWidth="1"/>
    <col min="14" max="14" width="22" customWidth="1"/>
    <col min="15" max="15" width="22" customWidth="1"/>
    <col min="16" max="16" width="14" customWidth="1"/>
    <col min="17" max="17" width="7" customWidth="1"/>
    <col min="18" max="18" width="32" customWidth="1"/>
    <col min="19" max="19" width="12" customWidth="1"/>
    <col min="20" max="20" width="24" customWidth="1"/>
  </cols>
  <sheetData>
    <row r="1">
      <c r="A1" s="1" t="inlineStr">
        <is>
          <t xml:space="preserve">Ngày</t>
        </is>
      </c>
      <c r="B1" s="1" t="inlineStr">
        <is>
          <t xml:space="preserve">Ngày lịch</t>
        </is>
      </c>
      <c r="C1" s="1" t="inlineStr">
        <is>
          <t xml:space="preserve">Tuần</t>
        </is>
      </c>
      <c r="D1" s="1" t="inlineStr">
        <is>
          <t xml:space="preserve">Level</t>
        </is>
      </c>
      <c r="E1" s="1" t="inlineStr">
        <is>
          <t xml:space="preserve">Giai đoạn tuần</t>
        </is>
      </c>
      <c r="F1" s="1" t="inlineStr">
        <is>
          <t xml:space="preserve">Dạng bài</t>
        </is>
      </c>
      <c r="G1" s="1" t="inlineStr">
        <is>
          <t xml:space="preserve">CurriculumID</t>
        </is>
      </c>
      <c r="H1" s="1" t="inlineStr">
        <is>
          <t xml:space="preserve">Chủ đề</t>
        </is>
      </c>
      <c r="I1" s="1" t="inlineStr">
        <is>
          <t xml:space="preserve">Ngữ pháp</t>
        </is>
      </c>
      <c r="J1" s="1" t="inlineStr">
        <is>
          <t xml:space="preserve">Từ hôm nay (ID)</t>
        </is>
      </c>
      <c r="K1" s="1" t="inlineStr">
        <is>
          <t xml:space="preserve">Số từ</t>
        </is>
      </c>
      <c r="L1" s="1" t="inlineStr">
        <is>
          <t xml:space="preserve">Nghe</t>
        </is>
      </c>
      <c r="M1" s="1" t="inlineStr">
        <is>
          <t xml:space="preserve">Nói</t>
        </is>
      </c>
      <c r="N1" s="1" t="inlineStr">
        <is>
          <t xml:space="preserve">Đọc</t>
        </is>
      </c>
      <c r="O1" s="1" t="inlineStr">
        <is>
          <t xml:space="preserve">Viết</t>
        </is>
      </c>
      <c r="P1" s="1" t="inlineStr">
        <is>
          <t xml:space="preserve">Bài tập</t>
        </is>
      </c>
      <c r="Q1" s="1" t="inlineStr">
        <is>
          <t xml:space="preserve">Phút</t>
        </is>
      </c>
      <c r="R1" s="1" t="inlineStr">
        <is>
          <t xml:space="preserve">Test</t>
        </is>
      </c>
      <c r="S1" s="1" t="inlineStr">
        <is>
          <t xml:space="preserve">Trạng thái</t>
        </is>
      </c>
      <c r="T1" s="1" t="inlineStr">
        <is>
          <t xml:space="preserve">Nguồn từ</t>
        </is>
      </c>
    </row>
    <row r="2">
      <c r="A2">
        <v>1</v>
      </c>
      <c r="B2" s="2">
        <v>46300</v>
      </c>
      <c r="C2">
        <v>1</v>
      </c>
      <c r="D2" t="inlineStr">
        <is>
          <t xml:space="preserve">A0</t>
        </is>
      </c>
      <c r="E2" s="3" t="inlineStr">
        <is>
          <t xml:space="preserve">Foundation &amp; survival English</t>
        </is>
      </c>
      <c r="F2" t="inlineStr">
        <is>
          <t xml:space="preserve">New concept</t>
        </is>
      </c>
      <c r="G2" t="inlineStr">
        <is>
          <t xml:space="preserve">A0-001</t>
        </is>
      </c>
      <c r="H2" s="3" t="inlineStr">
        <is>
          <t xml:space="preserve">Alphabet &amp; spelling</t>
        </is>
      </c>
      <c r="I2" s="3" t="inlineStr">
        <is>
          <t xml:space="preserve">—</t>
        </is>
      </c>
      <c r="J2" s="3" t="inlineStr">
        <is>
          <t xml:space="preserve">a0_alpha_001 · a0_alpha_002 · a0_alpha_003 · a0_alpha_004 · a0_alpha_005 · a0_alpha_006 · a0_alpha_007 · a0_alpha_008</t>
        </is>
      </c>
      <c r="K2">
        <v>8</v>
      </c>
      <c r="L2" s="3" t="inlineStr">
        <is>
          <t xml:space="preserve">letter sounds</t>
        </is>
      </c>
      <c r="M2" s="3" t="inlineStr">
        <is>
          <t xml:space="preserve">spell your name</t>
        </is>
      </c>
      <c r="N2" s="3" t="inlineStr">
        <is>
          <t xml:space="preserve">read letters</t>
        </is>
      </c>
      <c r="O2" s="3" t="inlineStr">
        <is>
          <t xml:space="preserve">write the alphabet</t>
        </is>
      </c>
      <c r="P2" t="inlineStr">
        <is>
          <t xml:space="preserve">—</t>
        </is>
      </c>
      <c r="Q2">
        <v>60</v>
      </c>
      <c r="R2" s="3" t="inlineStr">
        <is>
          <t xml:space="preserve">—</t>
        </is>
      </c>
      <c r="S2">
        <f>IF(PROGRESS!$E2="Yes","Xong","Chưa làm")</f>
      </c>
      <c r="T2" s="3" t="inlineStr">
        <is>
          <t xml:space="preserve">đủ từ</t>
        </is>
      </c>
    </row>
    <row r="3">
      <c r="A3">
        <v>2</v>
      </c>
      <c r="B3" s="2">
        <v>46301</v>
      </c>
      <c r="C3">
        <v>1</v>
      </c>
      <c r="D3" t="inlineStr">
        <is>
          <t xml:space="preserve">A0</t>
        </is>
      </c>
      <c r="E3" s="3" t="inlineStr">
        <is>
          <t xml:space="preserve">Foundation &amp; survival English</t>
        </is>
      </c>
      <c r="F3" t="inlineStr">
        <is>
          <t xml:space="preserve">Guided practice</t>
        </is>
      </c>
      <c r="G3" t="inlineStr">
        <is>
          <t xml:space="preserve">A0-001</t>
        </is>
      </c>
      <c r="H3" s="3" t="inlineStr">
        <is>
          <t xml:space="preserve">Alphabet &amp; spelling</t>
        </is>
      </c>
      <c r="I3" s="3" t="inlineStr">
        <is>
          <t xml:space="preserve">—</t>
        </is>
      </c>
      <c r="J3" s="3" t="inlineStr">
        <is>
          <t xml:space="preserve">a0_alpha_009 · a0_alpha_010 · a0_sound_011 · a0_sound_012 · a0_sound_013 · a0_sound_014 · a0_sound_015 · a0_sound_016</t>
        </is>
      </c>
      <c r="K3">
        <v>8</v>
      </c>
      <c r="L3" s="3" t="inlineStr">
        <is>
          <t xml:space="preserve">letter sounds</t>
        </is>
      </c>
      <c r="M3" s="3" t="inlineStr">
        <is>
          <t xml:space="preserve">spell your name</t>
        </is>
      </c>
      <c r="N3" s="3" t="inlineStr">
        <is>
          <t xml:space="preserve">read letters</t>
        </is>
      </c>
      <c r="O3" s="3" t="inlineStr">
        <is>
          <t xml:space="preserve">write the alphabet</t>
        </is>
      </c>
      <c r="P3" t="inlineStr">
        <is>
          <t xml:space="preserve">—</t>
        </is>
      </c>
      <c r="Q3">
        <v>60</v>
      </c>
      <c r="R3" s="3" t="inlineStr">
        <is>
          <t xml:space="preserve">—</t>
        </is>
      </c>
      <c r="S3">
        <f>IF(PROGRESS!$E3="Yes","Xong","Chưa làm")</f>
      </c>
      <c r="T3" s="3" t="inlineStr">
        <is>
          <t xml:space="preserve">đủ từ</t>
        </is>
      </c>
    </row>
    <row r="4">
      <c r="A4">
        <v>3</v>
      </c>
      <c r="B4" s="2">
        <v>46302</v>
      </c>
      <c r="C4">
        <v>1</v>
      </c>
      <c r="D4" t="inlineStr">
        <is>
          <t xml:space="preserve">A0</t>
        </is>
      </c>
      <c r="E4" s="3" t="inlineStr">
        <is>
          <t xml:space="preserve">Foundation &amp; survival English</t>
        </is>
      </c>
      <c r="F4" t="inlineStr">
        <is>
          <t xml:space="preserve">Listening + shadowing</t>
        </is>
      </c>
      <c r="G4" t="inlineStr">
        <is>
          <t xml:space="preserve">A0-002</t>
        </is>
      </c>
      <c r="H4" s="3" t="inlineStr">
        <is>
          <t xml:space="preserve">Vowels &amp; consonants</t>
        </is>
      </c>
      <c r="I4" s="3" t="inlineStr">
        <is>
          <t xml:space="preserve">—</t>
        </is>
      </c>
      <c r="J4" s="3" t="inlineStr">
        <is>
          <t xml:space="preserve">a0_sound_017 · a0_sound_018 · a0_num_019 · a0_num_020 · a0_num_021 · a0_num_022 · a0_num_023 · a0_num_024</t>
        </is>
      </c>
      <c r="K4">
        <v>8</v>
      </c>
      <c r="L4" s="3" t="inlineStr">
        <is>
          <t xml:space="preserve">identify sounds</t>
        </is>
      </c>
      <c r="M4" s="3" t="inlineStr">
        <is>
          <t xml:space="preserve">repeat sounds</t>
        </is>
      </c>
      <c r="N4" s="3" t="inlineStr">
        <is>
          <t xml:space="preserve">sound recognition</t>
        </is>
      </c>
      <c r="O4" s="3" t="inlineStr">
        <is>
          <t xml:space="preserve">—</t>
        </is>
      </c>
      <c r="P4" t="inlineStr">
        <is>
          <t xml:space="preserve">—</t>
        </is>
      </c>
      <c r="Q4">
        <v>60</v>
      </c>
      <c r="R4" s="3" t="inlineStr">
        <is>
          <t xml:space="preserve">—</t>
        </is>
      </c>
      <c r="S4">
        <f>IF(PROGRESS!$E4="Yes","Xong","Chưa làm")</f>
      </c>
      <c r="T4" s="3" t="inlineStr">
        <is>
          <t xml:space="preserve">đủ từ</t>
        </is>
      </c>
    </row>
    <row r="5">
      <c r="A5">
        <v>4</v>
      </c>
      <c r="B5" s="2">
        <v>46303</v>
      </c>
      <c r="C5">
        <v>1</v>
      </c>
      <c r="D5" t="inlineStr">
        <is>
          <t xml:space="preserve">A0</t>
        </is>
      </c>
      <c r="E5" s="3" t="inlineStr">
        <is>
          <t xml:space="preserve">Foundation &amp; survival English</t>
        </is>
      </c>
      <c r="F5" t="inlineStr">
        <is>
          <t xml:space="preserve">Speaking drill</t>
        </is>
      </c>
      <c r="G5" t="inlineStr">
        <is>
          <t xml:space="preserve">A0-002</t>
        </is>
      </c>
      <c r="H5" s="3" t="inlineStr">
        <is>
          <t xml:space="preserve">Vowels &amp; consonants</t>
        </is>
      </c>
      <c r="I5" s="3" t="inlineStr">
        <is>
          <t xml:space="preserve">—</t>
        </is>
      </c>
      <c r="J5" s="3" t="inlineStr">
        <is>
          <t xml:space="preserve">a0_num_025 · a0_num_026 · a0_num_027 · a0_num_028 · a0_num_029 · a0_num_030 · a0_num_031 · a0_num_032</t>
        </is>
      </c>
      <c r="K5">
        <v>8</v>
      </c>
      <c r="L5" s="3" t="inlineStr">
        <is>
          <t xml:space="preserve">identify sounds</t>
        </is>
      </c>
      <c r="M5" s="3" t="inlineStr">
        <is>
          <t xml:space="preserve">repeat sounds</t>
        </is>
      </c>
      <c r="N5" s="3" t="inlineStr">
        <is>
          <t xml:space="preserve">sound recognition</t>
        </is>
      </c>
      <c r="O5" s="3" t="inlineStr">
        <is>
          <t xml:space="preserve">—</t>
        </is>
      </c>
      <c r="P5" t="inlineStr">
        <is>
          <t xml:space="preserve">—</t>
        </is>
      </c>
      <c r="Q5">
        <v>60</v>
      </c>
      <c r="R5" s="3" t="inlineStr">
        <is>
          <t xml:space="preserve">—</t>
        </is>
      </c>
      <c r="S5">
        <f>IF(PROGRESS!$E5="Yes","Xong","Chưa làm")</f>
      </c>
      <c r="T5" s="3" t="inlineStr">
        <is>
          <t xml:space="preserve">đủ từ</t>
        </is>
      </c>
    </row>
    <row r="6">
      <c r="A6">
        <v>5</v>
      </c>
      <c r="B6" s="2">
        <v>46304</v>
      </c>
      <c r="C6">
        <v>1</v>
      </c>
      <c r="D6" t="inlineStr">
        <is>
          <t xml:space="preserve">A0</t>
        </is>
      </c>
      <c r="E6" s="3" t="inlineStr">
        <is>
          <t xml:space="preserve">Foundation &amp; survival English</t>
        </is>
      </c>
      <c r="F6" t="inlineStr">
        <is>
          <t xml:space="preserve">Reading + vocabulary</t>
        </is>
      </c>
      <c r="G6" t="inlineStr">
        <is>
          <t xml:space="preserve">A0-004</t>
        </is>
      </c>
      <c r="H6" s="3" t="inlineStr">
        <is>
          <t xml:space="preserve">Greetings &amp; introductions</t>
        </is>
      </c>
      <c r="I6" s="3" t="inlineStr">
        <is>
          <t xml:space="preserve">GA01 Verb BE</t>
        </is>
      </c>
      <c r="J6" s="3" t="inlineStr">
        <is>
          <t xml:space="preserve">a0_num_033 · a0_num_034 · a0_num_035 · a0_num_036 · a0_num_037 · a0_num_038 · a0_num_039 · a0_num_040</t>
        </is>
      </c>
      <c r="K6">
        <v>8</v>
      </c>
      <c r="L6" s="3" t="inlineStr">
        <is>
          <t xml:space="preserve">intro dialogue</t>
        </is>
      </c>
      <c r="M6" s="3" t="inlineStr">
        <is>
          <t xml:space="preserve">introduce yourself</t>
        </is>
      </c>
      <c r="N6" s="3" t="inlineStr">
        <is>
          <t xml:space="preserve">read a mini dialogue</t>
        </is>
      </c>
      <c r="O6" s="3" t="inlineStr">
        <is>
          <t xml:space="preserve">write an introduction</t>
        </is>
      </c>
      <c r="P6" t="inlineStr">
        <is>
          <t xml:space="preserve">E002, E003</t>
        </is>
      </c>
      <c r="Q6">
        <v>60</v>
      </c>
      <c r="R6" s="3" t="inlineStr">
        <is>
          <t xml:space="preserve">—</t>
        </is>
      </c>
      <c r="S6">
        <f>IF(PROGRESS!$E6="Yes","Xong","Chưa làm")</f>
      </c>
      <c r="T6" s="3" t="inlineStr">
        <is>
          <t xml:space="preserve">đủ từ</t>
        </is>
      </c>
    </row>
    <row r="7">
      <c r="A7">
        <v>6</v>
      </c>
      <c r="B7" s="2">
        <v>46305</v>
      </c>
      <c r="C7">
        <v>1</v>
      </c>
      <c r="D7" t="inlineStr">
        <is>
          <t xml:space="preserve">A0</t>
        </is>
      </c>
      <c r="E7" s="3" t="inlineStr">
        <is>
          <t xml:space="preserve">Foundation &amp; survival English</t>
        </is>
      </c>
      <c r="F7" t="inlineStr">
        <is>
          <t xml:space="preserve">Writing + correction</t>
        </is>
      </c>
      <c r="G7" t="inlineStr">
        <is>
          <t xml:space="preserve">A0-004</t>
        </is>
      </c>
      <c r="H7" s="3" t="inlineStr">
        <is>
          <t xml:space="preserve">Greetings &amp; introductions</t>
        </is>
      </c>
      <c r="I7" s="3" t="inlineStr">
        <is>
          <t xml:space="preserve">GA01 Verb BE</t>
        </is>
      </c>
      <c r="J7" s="3" t="inlineStr">
        <is>
          <t xml:space="preserve">a0_num_041 · a0_num_042 · a0_num_043 · a0_num_044 · a0_num_045 · a0_num_046 · a0_num_047 · a0_greet_048</t>
        </is>
      </c>
      <c r="K7">
        <v>8</v>
      </c>
      <c r="L7" s="3" t="inlineStr">
        <is>
          <t xml:space="preserve">intro dialogue</t>
        </is>
      </c>
      <c r="M7" s="3" t="inlineStr">
        <is>
          <t xml:space="preserve">introduce yourself</t>
        </is>
      </c>
      <c r="N7" s="3" t="inlineStr">
        <is>
          <t xml:space="preserve">read a mini dialogue</t>
        </is>
      </c>
      <c r="O7" s="3" t="inlineStr">
        <is>
          <t xml:space="preserve">write an introduction</t>
        </is>
      </c>
      <c r="P7" t="inlineStr">
        <is>
          <t xml:space="preserve">E002, E003</t>
        </is>
      </c>
      <c r="Q7">
        <v>60</v>
      </c>
      <c r="R7" s="3" t="inlineStr">
        <is>
          <t xml:space="preserve">—</t>
        </is>
      </c>
      <c r="S7">
        <f>IF(PROGRESS!$E7="Yes","Xong","Chưa làm")</f>
      </c>
      <c r="T7" s="3" t="inlineStr">
        <is>
          <t xml:space="preserve">đủ từ</t>
        </is>
      </c>
    </row>
    <row r="8">
      <c r="A8">
        <v>7</v>
      </c>
      <c r="B8" s="2">
        <v>46306</v>
      </c>
      <c r="C8">
        <v>1</v>
      </c>
      <c r="D8" t="inlineStr">
        <is>
          <t xml:space="preserve">A0</t>
        </is>
      </c>
      <c r="E8" s="3" t="inlineStr">
        <is>
          <t xml:space="preserve">Foundation &amp; survival English</t>
        </is>
      </c>
      <c r="F8" t="inlineStr">
        <is>
          <t xml:space="preserve">Weekly review</t>
        </is>
      </c>
      <c r="G8" t="inlineStr">
        <is>
          <t xml:space="preserve">—</t>
        </is>
      </c>
      <c r="H8" s="3" t="inlineStr">
        <is>
          <t xml:space="preserve">Ôn tổng hợp tuần 1</t>
        </is>
      </c>
      <c r="I8" s="3" t="inlineStr">
        <is>
          <t xml:space="preserve">—</t>
        </is>
      </c>
      <c r="J8" s="3" t="inlineStr">
        <is>
          <t xml:space="preserve">—</t>
        </is>
      </c>
      <c r="K8">
        <v>0</v>
      </c>
      <c r="L8" s="3" t="inlineStr">
        <is>
          <t xml:space="preserve">Ôn theo sheet DUE</t>
        </is>
      </c>
      <c r="M8" s="3" t="inlineStr">
        <is>
          <t xml:space="preserve">Nói lại 5 câu của tuần</t>
        </is>
      </c>
      <c r="N8" s="3" t="inlineStr">
        <is>
          <t xml:space="preserve">Đọc lại văn bản tuần</t>
        </is>
      </c>
      <c r="O8" s="3" t="inlineStr">
        <is>
          <t xml:space="preserve">Viết lại đoạn đã sửa</t>
        </is>
      </c>
      <c r="P8" t="inlineStr">
        <is>
          <t xml:space="preserve">E002, E003</t>
        </is>
      </c>
      <c r="Q8">
        <v>60</v>
      </c>
      <c r="R8" s="3" t="inlineStr">
        <is>
          <t xml:space="preserve">Test tuần 1</t>
        </is>
      </c>
      <c r="S8">
        <f>IF(PROGRESS!$E8="Yes","Xong","Chưa làm")</f>
      </c>
      <c r="T8" s="3" t="inlineStr">
        <is>
          <t xml:space="preserve">ngày ôn, không thêm từ</t>
        </is>
      </c>
    </row>
    <row r="9">
      <c r="A9">
        <v>8</v>
      </c>
      <c r="B9" s="2">
        <v>46307</v>
      </c>
      <c r="C9">
        <v>2</v>
      </c>
      <c r="D9" t="inlineStr">
        <is>
          <t xml:space="preserve">A0</t>
        </is>
      </c>
      <c r="E9" s="3" t="inlineStr">
        <is>
          <t xml:space="preserve">Pronunciation &amp; basic vocabulary</t>
        </is>
      </c>
      <c r="F9" t="inlineStr">
        <is>
          <t xml:space="preserve">New concept</t>
        </is>
      </c>
      <c r="G9" t="inlineStr">
        <is>
          <t xml:space="preserve">A0-003</t>
        </is>
      </c>
      <c r="H9" s="3" t="inlineStr">
        <is>
          <t xml:space="preserve">Numbers &amp; time</t>
        </is>
      </c>
      <c r="I9" s="3" t="inlineStr">
        <is>
          <t xml:space="preserve">—</t>
        </is>
      </c>
      <c r="J9" s="3" t="inlineStr">
        <is>
          <t xml:space="preserve">a0_greet_049 · a0_greet_050 · a0_greet_051 · a0_greet_052 · a0_greet_053 · a0_greet_054 · a0_greet_055 · a0_greet_056</t>
        </is>
      </c>
      <c r="K9">
        <v>8</v>
      </c>
      <c r="L9" s="3" t="inlineStr">
        <is>
          <t xml:space="preserve">short number audio</t>
        </is>
      </c>
      <c r="M9" s="3" t="inlineStr">
        <is>
          <t xml:space="preserve">say the time</t>
        </is>
      </c>
      <c r="N9" s="3" t="inlineStr">
        <is>
          <t xml:space="preserve">read numbers</t>
        </is>
      </c>
      <c r="O9" s="3" t="inlineStr">
        <is>
          <t xml:space="preserve">write numbers</t>
        </is>
      </c>
      <c r="P9" t="inlineStr">
        <is>
          <t xml:space="preserve">—</t>
        </is>
      </c>
      <c r="Q9">
        <v>60</v>
      </c>
      <c r="R9" s="3" t="inlineStr">
        <is>
          <t xml:space="preserve">—</t>
        </is>
      </c>
      <c r="S9">
        <f>IF(PROGRESS!$E9="Yes","Xong","Chưa làm")</f>
      </c>
      <c r="T9" s="3" t="inlineStr">
        <is>
          <t xml:space="preserve">đủ từ</t>
        </is>
      </c>
    </row>
    <row r="10">
      <c r="A10">
        <v>9</v>
      </c>
      <c r="B10" s="2">
        <v>46308</v>
      </c>
      <c r="C10">
        <v>2</v>
      </c>
      <c r="D10" t="inlineStr">
        <is>
          <t xml:space="preserve">A0</t>
        </is>
      </c>
      <c r="E10" s="3" t="inlineStr">
        <is>
          <t xml:space="preserve">Pronunciation &amp; basic vocabulary</t>
        </is>
      </c>
      <c r="F10" t="inlineStr">
        <is>
          <t xml:space="preserve">Guided practice</t>
        </is>
      </c>
      <c r="G10" t="inlineStr">
        <is>
          <t xml:space="preserve">A0-003</t>
        </is>
      </c>
      <c r="H10" s="3" t="inlineStr">
        <is>
          <t xml:space="preserve">Numbers &amp; time</t>
        </is>
      </c>
      <c r="I10" s="3" t="inlineStr">
        <is>
          <t xml:space="preserve">—</t>
        </is>
      </c>
      <c r="J10" s="3" t="inlineStr">
        <is>
          <t xml:space="preserve">a0_greet_057 · a0_greet_058 · a0_greet_059 · a0_greet_060 · a0_greet_061 · cur_v001 · cur_v002 · cur_v005</t>
        </is>
      </c>
      <c r="K10">
        <v>8</v>
      </c>
      <c r="L10" s="3" t="inlineStr">
        <is>
          <t xml:space="preserve">short number audio</t>
        </is>
      </c>
      <c r="M10" s="3" t="inlineStr">
        <is>
          <t xml:space="preserve">say the time</t>
        </is>
      </c>
      <c r="N10" s="3" t="inlineStr">
        <is>
          <t xml:space="preserve">read numbers</t>
        </is>
      </c>
      <c r="O10" s="3" t="inlineStr">
        <is>
          <t xml:space="preserve">write numbers</t>
        </is>
      </c>
      <c r="P10" t="inlineStr">
        <is>
          <t xml:space="preserve">—</t>
        </is>
      </c>
      <c r="Q10">
        <v>60</v>
      </c>
      <c r="R10" s="3" t="inlineStr">
        <is>
          <t xml:space="preserve">—</t>
        </is>
      </c>
      <c r="S10">
        <f>IF(PROGRESS!$E10="Yes","Xong","Chưa làm")</f>
      </c>
      <c r="T10" s="3" t="inlineStr">
        <is>
          <t xml:space="preserve">đủ từ</t>
        </is>
      </c>
    </row>
    <row r="11">
      <c r="A11">
        <v>10</v>
      </c>
      <c r="B11" s="2">
        <v>46309</v>
      </c>
      <c r="C11">
        <v>2</v>
      </c>
      <c r="D11" t="inlineStr">
        <is>
          <t xml:space="preserve">A0</t>
        </is>
      </c>
      <c r="E11" s="3" t="inlineStr">
        <is>
          <t xml:space="preserve">Pronunciation &amp; basic vocabulary</t>
        </is>
      </c>
      <c r="F11" t="inlineStr">
        <is>
          <t xml:space="preserve">Listening + shadowing</t>
        </is>
      </c>
      <c r="G11" t="inlineStr">
        <is>
          <t xml:space="preserve">A0-003</t>
        </is>
      </c>
      <c r="H11" s="3" t="inlineStr">
        <is>
          <t xml:space="preserve">Numbers &amp; time</t>
        </is>
      </c>
      <c r="I11" s="3" t="inlineStr">
        <is>
          <t xml:space="preserve">—</t>
        </is>
      </c>
      <c r="J11" s="3" t="inlineStr">
        <is>
          <t xml:space="preserve">a0_pron_062 · a0_pron_063 · a0_pron_064 · a0_pron_065 · a0_pron_066 · a0_pron_067 · a0_pron_068 · a0_pron_069</t>
        </is>
      </c>
      <c r="K11">
        <v>8</v>
      </c>
      <c r="L11" s="3" t="inlineStr">
        <is>
          <t xml:space="preserve">short number audio</t>
        </is>
      </c>
      <c r="M11" s="3" t="inlineStr">
        <is>
          <t xml:space="preserve">say the time</t>
        </is>
      </c>
      <c r="N11" s="3" t="inlineStr">
        <is>
          <t xml:space="preserve">read numbers</t>
        </is>
      </c>
      <c r="O11" s="3" t="inlineStr">
        <is>
          <t xml:space="preserve">write numbers</t>
        </is>
      </c>
      <c r="P11" t="inlineStr">
        <is>
          <t xml:space="preserve">—</t>
        </is>
      </c>
      <c r="Q11">
        <v>60</v>
      </c>
      <c r="R11" s="3" t="inlineStr">
        <is>
          <t xml:space="preserve">—</t>
        </is>
      </c>
      <c r="S11">
        <f>IF(PROGRESS!$E11="Yes","Xong","Chưa làm")</f>
      </c>
      <c r="T11" s="3" t="inlineStr">
        <is>
          <t xml:space="preserve">đủ từ</t>
        </is>
      </c>
    </row>
    <row r="12">
      <c r="A12">
        <v>11</v>
      </c>
      <c r="B12" s="2">
        <v>46310</v>
      </c>
      <c r="C12">
        <v>2</v>
      </c>
      <c r="D12" t="inlineStr">
        <is>
          <t xml:space="preserve">A0</t>
        </is>
      </c>
      <c r="E12" s="3" t="inlineStr">
        <is>
          <t xml:space="preserve">Pronunciation &amp; basic vocabulary</t>
        </is>
      </c>
      <c r="F12" t="inlineStr">
        <is>
          <t xml:space="preserve">Speaking drill</t>
        </is>
      </c>
      <c r="G12" t="inlineStr">
        <is>
          <t xml:space="preserve">A0-005</t>
        </is>
      </c>
      <c r="H12" s="3" t="inlineStr">
        <is>
          <t xml:space="preserve">Pronouns &amp; BE</t>
        </is>
      </c>
      <c r="I12" s="3" t="inlineStr">
        <is>
          <t xml:space="preserve">GA01 Verb BE; GA02 Subject pronouns</t>
        </is>
      </c>
      <c r="J12" s="3" t="inlineStr">
        <is>
          <t xml:space="preserve">a0_pron_070 · a0_pron_071 · a0_pron_072 · a0_pron_073 · a0_pron_074 · a0_pron_075 · a0_pron_076 · a0_pron_077</t>
        </is>
      </c>
      <c r="K12">
        <v>8</v>
      </c>
      <c r="L12" s="3" t="inlineStr">
        <is>
          <t xml:space="preserve">BE sentences</t>
        </is>
      </c>
      <c r="M12" s="3" t="inlineStr">
        <is>
          <t xml:space="preserve">make 10 sentences</t>
        </is>
      </c>
      <c r="N12" s="3" t="inlineStr">
        <is>
          <t xml:space="preserve">read sentences</t>
        </is>
      </c>
      <c r="O12" s="3" t="inlineStr">
        <is>
          <t xml:space="preserve">write 10 sentences</t>
        </is>
      </c>
      <c r="P12" t="inlineStr">
        <is>
          <t xml:space="preserve">E001</t>
        </is>
      </c>
      <c r="Q12">
        <v>60</v>
      </c>
      <c r="R12" s="3" t="inlineStr">
        <is>
          <t xml:space="preserve">—</t>
        </is>
      </c>
      <c r="S12">
        <f>IF(PROGRESS!$E12="Yes","Xong","Chưa làm")</f>
      </c>
      <c r="T12" s="3" t="inlineStr">
        <is>
          <t xml:space="preserve">đủ từ</t>
        </is>
      </c>
    </row>
    <row r="13">
      <c r="A13">
        <v>12</v>
      </c>
      <c r="B13" s="2">
        <v>46311</v>
      </c>
      <c r="C13">
        <v>2</v>
      </c>
      <c r="D13" t="inlineStr">
        <is>
          <t xml:space="preserve">A0</t>
        </is>
      </c>
      <c r="E13" s="3" t="inlineStr">
        <is>
          <t xml:space="preserve">Pronunciation &amp; basic vocabulary</t>
        </is>
      </c>
      <c r="F13" t="inlineStr">
        <is>
          <t xml:space="preserve">Reading + vocabulary</t>
        </is>
      </c>
      <c r="G13" t="inlineStr">
        <is>
          <t xml:space="preserve">A0-005</t>
        </is>
      </c>
      <c r="H13" s="3" t="inlineStr">
        <is>
          <t xml:space="preserve">Pronouns &amp; BE</t>
        </is>
      </c>
      <c r="I13" s="3" t="inlineStr">
        <is>
          <t xml:space="preserve">GA01 Verb BE; GA02 Subject pronouns</t>
        </is>
      </c>
      <c r="J13" s="3" t="inlineStr">
        <is>
          <t xml:space="preserve">a0_pron_078 · a0_pron_079 · a0_pron_080 · a0_obj_081 · a0_obj_082 · a0_obj_083 · a0_obj_084 · a0_obj_085</t>
        </is>
      </c>
      <c r="K13">
        <v>8</v>
      </c>
      <c r="L13" s="3" t="inlineStr">
        <is>
          <t xml:space="preserve">BE sentences</t>
        </is>
      </c>
      <c r="M13" s="3" t="inlineStr">
        <is>
          <t xml:space="preserve">make 10 sentences</t>
        </is>
      </c>
      <c r="N13" s="3" t="inlineStr">
        <is>
          <t xml:space="preserve">read sentences</t>
        </is>
      </c>
      <c r="O13" s="3" t="inlineStr">
        <is>
          <t xml:space="preserve">write 10 sentences</t>
        </is>
      </c>
      <c r="P13" t="inlineStr">
        <is>
          <t xml:space="preserve">E001</t>
        </is>
      </c>
      <c r="Q13">
        <v>60</v>
      </c>
      <c r="R13" s="3" t="inlineStr">
        <is>
          <t xml:space="preserve">—</t>
        </is>
      </c>
      <c r="S13">
        <f>IF(PROGRESS!$E13="Yes","Xong","Chưa làm")</f>
      </c>
      <c r="T13" s="3" t="inlineStr">
        <is>
          <t xml:space="preserve">đủ từ</t>
        </is>
      </c>
    </row>
    <row r="14">
      <c r="A14">
        <v>13</v>
      </c>
      <c r="B14" s="2">
        <v>46312</v>
      </c>
      <c r="C14">
        <v>2</v>
      </c>
      <c r="D14" t="inlineStr">
        <is>
          <t xml:space="preserve">A0</t>
        </is>
      </c>
      <c r="E14" s="3" t="inlineStr">
        <is>
          <t xml:space="preserve">Pronunciation &amp; basic vocabulary</t>
        </is>
      </c>
      <c r="F14" t="inlineStr">
        <is>
          <t xml:space="preserve">Writing + correction</t>
        </is>
      </c>
      <c r="G14" t="inlineStr">
        <is>
          <t xml:space="preserve">A0-005</t>
        </is>
      </c>
      <c r="H14" s="3" t="inlineStr">
        <is>
          <t xml:space="preserve">Pronouns &amp; BE</t>
        </is>
      </c>
      <c r="I14" s="3" t="inlineStr">
        <is>
          <t xml:space="preserve">GA01 Verb BE; GA02 Subject pronouns</t>
        </is>
      </c>
      <c r="J14" s="3" t="inlineStr">
        <is>
          <t xml:space="preserve">a0_obj_086 · a0_obj_087 · a0_obj_088 · a0_obj_089 · a0_obj_090 · a0_obj_091 · a0_obj_092 · a0_obj_093</t>
        </is>
      </c>
      <c r="K14">
        <v>8</v>
      </c>
      <c r="L14" s="3" t="inlineStr">
        <is>
          <t xml:space="preserve">BE sentences</t>
        </is>
      </c>
      <c r="M14" s="3" t="inlineStr">
        <is>
          <t xml:space="preserve">make 10 sentences</t>
        </is>
      </c>
      <c r="N14" s="3" t="inlineStr">
        <is>
          <t xml:space="preserve">read sentences</t>
        </is>
      </c>
      <c r="O14" s="3" t="inlineStr">
        <is>
          <t xml:space="preserve">write 10 sentences</t>
        </is>
      </c>
      <c r="P14" t="inlineStr">
        <is>
          <t xml:space="preserve">E001</t>
        </is>
      </c>
      <c r="Q14">
        <v>60</v>
      </c>
      <c r="R14" s="3" t="inlineStr">
        <is>
          <t xml:space="preserve">—</t>
        </is>
      </c>
      <c r="S14">
        <f>IF(PROGRESS!$E14="Yes","Xong","Chưa làm")</f>
      </c>
      <c r="T14" s="3" t="inlineStr">
        <is>
          <t xml:space="preserve">đủ từ</t>
        </is>
      </c>
    </row>
    <row r="15">
      <c r="A15">
        <v>14</v>
      </c>
      <c r="B15" s="2">
        <v>46313</v>
      </c>
      <c r="C15">
        <v>2</v>
      </c>
      <c r="D15" t="inlineStr">
        <is>
          <t xml:space="preserve">A0</t>
        </is>
      </c>
      <c r="E15" s="3" t="inlineStr">
        <is>
          <t xml:space="preserve">Pronunciation &amp; basic vocabulary</t>
        </is>
      </c>
      <c r="F15" t="inlineStr">
        <is>
          <t xml:space="preserve">Weekly review</t>
        </is>
      </c>
      <c r="G15" t="inlineStr">
        <is>
          <t xml:space="preserve">—</t>
        </is>
      </c>
      <c r="H15" s="3" t="inlineStr">
        <is>
          <t xml:space="preserve">Ôn tổng hợp tuần 2</t>
        </is>
      </c>
      <c r="I15" s="3" t="inlineStr">
        <is>
          <t xml:space="preserve">—</t>
        </is>
      </c>
      <c r="J15" s="3" t="inlineStr">
        <is>
          <t xml:space="preserve">—</t>
        </is>
      </c>
      <c r="K15">
        <v>0</v>
      </c>
      <c r="L15" s="3" t="inlineStr">
        <is>
          <t xml:space="preserve">Ôn theo sheet DUE</t>
        </is>
      </c>
      <c r="M15" s="3" t="inlineStr">
        <is>
          <t xml:space="preserve">Nói lại 5 câu của tuần</t>
        </is>
      </c>
      <c r="N15" s="3" t="inlineStr">
        <is>
          <t xml:space="preserve">Đọc lại văn bản tuần</t>
        </is>
      </c>
      <c r="O15" s="3" t="inlineStr">
        <is>
          <t xml:space="preserve">Viết lại đoạn đã sửa</t>
        </is>
      </c>
      <c r="P15" t="inlineStr">
        <is>
          <t xml:space="preserve">E001</t>
        </is>
      </c>
      <c r="Q15">
        <v>60</v>
      </c>
      <c r="R15" s="3" t="inlineStr">
        <is>
          <t xml:space="preserve">Test tuần 2</t>
        </is>
      </c>
      <c r="S15">
        <f>IF(PROGRESS!$E15="Yes","Xong","Chưa làm")</f>
      </c>
      <c r="T15" s="3" t="inlineStr">
        <is>
          <t xml:space="preserve">ngày ôn, không thêm từ</t>
        </is>
      </c>
    </row>
    <row r="16">
      <c r="A16">
        <v>15</v>
      </c>
      <c r="B16" s="2">
        <v>46314</v>
      </c>
      <c r="C16">
        <v>3</v>
      </c>
      <c r="D16" t="inlineStr">
        <is>
          <t xml:space="preserve">A0</t>
        </is>
      </c>
      <c r="E16" s="3" t="inlineStr">
        <is>
          <t xml:space="preserve">Basic grammar &amp; sentences</t>
        </is>
      </c>
      <c r="F16" t="inlineStr">
        <is>
          <t xml:space="preserve">New concept</t>
        </is>
      </c>
      <c r="G16" t="inlineStr">
        <is>
          <t xml:space="preserve">A0-006</t>
        </is>
      </c>
      <c r="H16" s="3" t="inlineStr">
        <is>
          <t xml:space="preserve">This / That / These / Those</t>
        </is>
      </c>
      <c r="I16" s="3" t="inlineStr">
        <is>
          <t xml:space="preserve">GA04 This / That / These / Those</t>
        </is>
      </c>
      <c r="J16" s="3" t="inlineStr">
        <is>
          <t xml:space="preserve">a0_obj_094 · a0_obj_095 · a0_obj_096 · a0_place_097 · a0_place_098 · a0_place_099 · a0_place_100 · a0_place_101</t>
        </is>
      </c>
      <c r="K16">
        <v>8</v>
      </c>
      <c r="L16" s="3" t="inlineStr">
        <is>
          <t xml:space="preserve">object descriptions</t>
        </is>
      </c>
      <c r="M16" s="3" t="inlineStr">
        <is>
          <t xml:space="preserve">point and name</t>
        </is>
      </c>
      <c r="N16" s="3" t="inlineStr">
        <is>
          <t xml:space="preserve">short text</t>
        </is>
      </c>
      <c r="O16" s="3" t="inlineStr">
        <is>
          <t xml:space="preserve">write labels</t>
        </is>
      </c>
      <c r="P16" t="inlineStr">
        <is>
          <t xml:space="preserve">—</t>
        </is>
      </c>
      <c r="Q16">
        <v>60</v>
      </c>
      <c r="R16" s="3" t="inlineStr">
        <is>
          <t xml:space="preserve">—</t>
        </is>
      </c>
      <c r="S16">
        <f>IF(PROGRESS!$E16="Yes","Xong","Chưa làm")</f>
      </c>
      <c r="T16" s="3" t="inlineStr">
        <is>
          <t xml:space="preserve">đủ từ</t>
        </is>
      </c>
    </row>
    <row r="17">
      <c r="A17">
        <v>16</v>
      </c>
      <c r="B17" s="2">
        <v>46315</v>
      </c>
      <c r="C17">
        <v>3</v>
      </c>
      <c r="D17" t="inlineStr">
        <is>
          <t xml:space="preserve">A0</t>
        </is>
      </c>
      <c r="E17" s="3" t="inlineStr">
        <is>
          <t xml:space="preserve">Basic grammar &amp; sentences</t>
        </is>
      </c>
      <c r="F17" t="inlineStr">
        <is>
          <t xml:space="preserve">Guided practice</t>
        </is>
      </c>
      <c r="G17" t="inlineStr">
        <is>
          <t xml:space="preserve">A0-006</t>
        </is>
      </c>
      <c r="H17" s="3" t="inlineStr">
        <is>
          <t xml:space="preserve">This / That / These / Those</t>
        </is>
      </c>
      <c r="I17" s="3" t="inlineStr">
        <is>
          <t xml:space="preserve">GA04 This / That / These / Those</t>
        </is>
      </c>
      <c r="J17" s="3" t="inlineStr">
        <is>
          <t xml:space="preserve">a0_place_102 · a0_place_103 · a0_place_104 · a0_place_105 · a0_place_106 · a0_place_107 · a0_place_108 · a0_place_109</t>
        </is>
      </c>
      <c r="K17">
        <v>8</v>
      </c>
      <c r="L17" s="3" t="inlineStr">
        <is>
          <t xml:space="preserve">object descriptions</t>
        </is>
      </c>
      <c r="M17" s="3" t="inlineStr">
        <is>
          <t xml:space="preserve">point and name</t>
        </is>
      </c>
      <c r="N17" s="3" t="inlineStr">
        <is>
          <t xml:space="preserve">short text</t>
        </is>
      </c>
      <c r="O17" s="3" t="inlineStr">
        <is>
          <t xml:space="preserve">write labels</t>
        </is>
      </c>
      <c r="P17" t="inlineStr">
        <is>
          <t xml:space="preserve">—</t>
        </is>
      </c>
      <c r="Q17">
        <v>60</v>
      </c>
      <c r="R17" s="3" t="inlineStr">
        <is>
          <t xml:space="preserve">—</t>
        </is>
      </c>
      <c r="S17">
        <f>IF(PROGRESS!$E17="Yes","Xong","Chưa làm")</f>
      </c>
      <c r="T17" s="3" t="inlineStr">
        <is>
          <t xml:space="preserve">đủ từ</t>
        </is>
      </c>
    </row>
    <row r="18">
      <c r="A18">
        <v>17</v>
      </c>
      <c r="B18" s="2">
        <v>46316</v>
      </c>
      <c r="C18">
        <v>3</v>
      </c>
      <c r="D18" t="inlineStr">
        <is>
          <t xml:space="preserve">A0</t>
        </is>
      </c>
      <c r="E18" s="3" t="inlineStr">
        <is>
          <t xml:space="preserve">Basic grammar &amp; sentences</t>
        </is>
      </c>
      <c r="F18" t="inlineStr">
        <is>
          <t xml:space="preserve">Listening + shadowing</t>
        </is>
      </c>
      <c r="G18" t="inlineStr">
        <is>
          <t xml:space="preserve">A0-006</t>
        </is>
      </c>
      <c r="H18" s="3" t="inlineStr">
        <is>
          <t xml:space="preserve">This / That / These / Those</t>
        </is>
      </c>
      <c r="I18" s="3" t="inlineStr">
        <is>
          <t xml:space="preserve">GA04 This / That / These / Those</t>
        </is>
      </c>
      <c r="J18" s="3" t="inlineStr">
        <is>
          <t xml:space="preserve">a0_fam_110 · a0_fam_111 · a0_fam_112 · a0_fam_113 · a0_fam_114 · a0_fam_115 · a0_fam_116 · a0_fam_117</t>
        </is>
      </c>
      <c r="K18">
        <v>8</v>
      </c>
      <c r="L18" s="3" t="inlineStr">
        <is>
          <t xml:space="preserve">object descriptions</t>
        </is>
      </c>
      <c r="M18" s="3" t="inlineStr">
        <is>
          <t xml:space="preserve">point and name</t>
        </is>
      </c>
      <c r="N18" s="3" t="inlineStr">
        <is>
          <t xml:space="preserve">short text</t>
        </is>
      </c>
      <c r="O18" s="3" t="inlineStr">
        <is>
          <t xml:space="preserve">write labels</t>
        </is>
      </c>
      <c r="P18" t="inlineStr">
        <is>
          <t xml:space="preserve">—</t>
        </is>
      </c>
      <c r="Q18">
        <v>60</v>
      </c>
      <c r="R18" s="3" t="inlineStr">
        <is>
          <t xml:space="preserve">—</t>
        </is>
      </c>
      <c r="S18">
        <f>IF(PROGRESS!$E18="Yes","Xong","Chưa làm")</f>
      </c>
      <c r="T18" s="3" t="inlineStr">
        <is>
          <t xml:space="preserve">đủ từ</t>
        </is>
      </c>
    </row>
    <row r="19">
      <c r="A19">
        <v>18</v>
      </c>
      <c r="B19" s="2">
        <v>46317</v>
      </c>
      <c r="C19">
        <v>3</v>
      </c>
      <c r="D19" t="inlineStr">
        <is>
          <t xml:space="preserve">A0</t>
        </is>
      </c>
      <c r="E19" s="3" t="inlineStr">
        <is>
          <t xml:space="preserve">Basic grammar &amp; sentences</t>
        </is>
      </c>
      <c r="F19" t="inlineStr">
        <is>
          <t xml:space="preserve">Speaking drill</t>
        </is>
      </c>
      <c r="G19" t="inlineStr">
        <is>
          <t xml:space="preserve">A0-007</t>
        </is>
      </c>
      <c r="H19" s="3" t="inlineStr">
        <is>
          <t xml:space="preserve">There is / There are</t>
        </is>
      </c>
      <c r="I19" s="3" t="inlineStr">
        <is>
          <t xml:space="preserve">GA05 There is / There are</t>
        </is>
      </c>
      <c r="J19" s="3" t="inlineStr">
        <is>
          <t xml:space="preserve">a0_fam_118 · a0_fam_119 · a0_fam_120 · a0_fam_121 · a0_fam_122 · a0_fam_123 · a0_fam_124 · a0_fam_125</t>
        </is>
      </c>
      <c r="K19">
        <v>8</v>
      </c>
      <c r="L19" s="3" t="inlineStr">
        <is>
          <t xml:space="preserve">descriptions</t>
        </is>
      </c>
      <c r="M19" s="3" t="inlineStr">
        <is>
          <t xml:space="preserve">describe your room</t>
        </is>
      </c>
      <c r="N19" s="3" t="inlineStr">
        <is>
          <t xml:space="preserve">room text</t>
        </is>
      </c>
      <c r="O19" s="3" t="inlineStr">
        <is>
          <t xml:space="preserve">room description</t>
        </is>
      </c>
      <c r="P19" t="inlineStr">
        <is>
          <t xml:space="preserve">—</t>
        </is>
      </c>
      <c r="Q19">
        <v>60</v>
      </c>
      <c r="R19" s="3" t="inlineStr">
        <is>
          <t xml:space="preserve">—</t>
        </is>
      </c>
      <c r="S19">
        <f>IF(PROGRESS!$E19="Yes","Xong","Chưa làm")</f>
      </c>
      <c r="T19" s="3" t="inlineStr">
        <is>
          <t xml:space="preserve">đủ từ</t>
        </is>
      </c>
    </row>
    <row r="20">
      <c r="A20">
        <v>19</v>
      </c>
      <c r="B20" s="2">
        <v>46318</v>
      </c>
      <c r="C20">
        <v>3</v>
      </c>
      <c r="D20" t="inlineStr">
        <is>
          <t xml:space="preserve">A0</t>
        </is>
      </c>
      <c r="E20" s="3" t="inlineStr">
        <is>
          <t xml:space="preserve">Basic grammar &amp; sentences</t>
        </is>
      </c>
      <c r="F20" t="inlineStr">
        <is>
          <t xml:space="preserve">Reading + vocabulary</t>
        </is>
      </c>
      <c r="G20" t="inlineStr">
        <is>
          <t xml:space="preserve">A0-007</t>
        </is>
      </c>
      <c r="H20" s="3" t="inlineStr">
        <is>
          <t xml:space="preserve">There is / There are</t>
        </is>
      </c>
      <c r="I20" s="3" t="inlineStr">
        <is>
          <t xml:space="preserve">GA05 There is / There are</t>
        </is>
      </c>
      <c r="J20" s="3" t="inlineStr">
        <is>
          <t xml:space="preserve">a0_fam_126 · a0_fam_127 · a0_fam_128 · a0_fam_129 · a0_fam_130 · cur_v003 · a0_food_131 · a0_food_132</t>
        </is>
      </c>
      <c r="K20">
        <v>8</v>
      </c>
      <c r="L20" s="3" t="inlineStr">
        <is>
          <t xml:space="preserve">descriptions</t>
        </is>
      </c>
      <c r="M20" s="3" t="inlineStr">
        <is>
          <t xml:space="preserve">describe your room</t>
        </is>
      </c>
      <c r="N20" s="3" t="inlineStr">
        <is>
          <t xml:space="preserve">room text</t>
        </is>
      </c>
      <c r="O20" s="3" t="inlineStr">
        <is>
          <t xml:space="preserve">room description</t>
        </is>
      </c>
      <c r="P20" t="inlineStr">
        <is>
          <t xml:space="preserve">—</t>
        </is>
      </c>
      <c r="Q20">
        <v>60</v>
      </c>
      <c r="R20" s="3" t="inlineStr">
        <is>
          <t xml:space="preserve">—</t>
        </is>
      </c>
      <c r="S20">
        <f>IF(PROGRESS!$E20="Yes","Xong","Chưa làm")</f>
      </c>
      <c r="T20" s="3" t="inlineStr">
        <is>
          <t xml:space="preserve">đủ từ</t>
        </is>
      </c>
    </row>
    <row r="21">
      <c r="A21">
        <v>20</v>
      </c>
      <c r="B21" s="2">
        <v>46319</v>
      </c>
      <c r="C21">
        <v>3</v>
      </c>
      <c r="D21" t="inlineStr">
        <is>
          <t xml:space="preserve">A0</t>
        </is>
      </c>
      <c r="E21" s="3" t="inlineStr">
        <is>
          <t xml:space="preserve">Basic grammar &amp; sentences</t>
        </is>
      </c>
      <c r="F21" t="inlineStr">
        <is>
          <t xml:space="preserve">Writing + correction</t>
        </is>
      </c>
      <c r="G21" t="inlineStr">
        <is>
          <t xml:space="preserve">A0-007</t>
        </is>
      </c>
      <c r="H21" s="3" t="inlineStr">
        <is>
          <t xml:space="preserve">There is / There are</t>
        </is>
      </c>
      <c r="I21" s="3" t="inlineStr">
        <is>
          <t xml:space="preserve">GA05 There is / There are</t>
        </is>
      </c>
      <c r="J21" s="3" t="inlineStr">
        <is>
          <t xml:space="preserve">a0_food_133 · a0_food_134 · a0_food_135 · a0_food_136 · a0_food_137 · a0_food_138 · a0_food_139 · a0_food_140</t>
        </is>
      </c>
      <c r="K21">
        <v>8</v>
      </c>
      <c r="L21" s="3" t="inlineStr">
        <is>
          <t xml:space="preserve">descriptions</t>
        </is>
      </c>
      <c r="M21" s="3" t="inlineStr">
        <is>
          <t xml:space="preserve">describe your room</t>
        </is>
      </c>
      <c r="N21" s="3" t="inlineStr">
        <is>
          <t xml:space="preserve">room text</t>
        </is>
      </c>
      <c r="O21" s="3" t="inlineStr">
        <is>
          <t xml:space="preserve">room description</t>
        </is>
      </c>
      <c r="P21" t="inlineStr">
        <is>
          <t xml:space="preserve">—</t>
        </is>
      </c>
      <c r="Q21">
        <v>60</v>
      </c>
      <c r="R21" s="3" t="inlineStr">
        <is>
          <t xml:space="preserve">—</t>
        </is>
      </c>
      <c r="S21">
        <f>IF(PROGRESS!$E21="Yes","Xong","Chưa làm")</f>
      </c>
      <c r="T21" s="3" t="inlineStr">
        <is>
          <t xml:space="preserve">đủ từ</t>
        </is>
      </c>
    </row>
    <row r="22">
      <c r="A22">
        <v>21</v>
      </c>
      <c r="B22" s="2">
        <v>46320</v>
      </c>
      <c r="C22">
        <v>3</v>
      </c>
      <c r="D22" t="inlineStr">
        <is>
          <t xml:space="preserve">A0</t>
        </is>
      </c>
      <c r="E22" s="3" t="inlineStr">
        <is>
          <t xml:space="preserve">Basic grammar &amp; sentences</t>
        </is>
      </c>
      <c r="F22" t="inlineStr">
        <is>
          <t xml:space="preserve">Weekly review</t>
        </is>
      </c>
      <c r="G22" t="inlineStr">
        <is>
          <t xml:space="preserve">—</t>
        </is>
      </c>
      <c r="H22" s="3" t="inlineStr">
        <is>
          <t xml:space="preserve">Ôn tổng hợp tuần 3</t>
        </is>
      </c>
      <c r="I22" s="3" t="inlineStr">
        <is>
          <t xml:space="preserve">—</t>
        </is>
      </c>
      <c r="J22" s="3" t="inlineStr">
        <is>
          <t xml:space="preserve">—</t>
        </is>
      </c>
      <c r="K22">
        <v>0</v>
      </c>
      <c r="L22" s="3" t="inlineStr">
        <is>
          <t xml:space="preserve">Ôn theo sheet DUE</t>
        </is>
      </c>
      <c r="M22" s="3" t="inlineStr">
        <is>
          <t xml:space="preserve">Nói lại 5 câu của tuần</t>
        </is>
      </c>
      <c r="N22" s="3" t="inlineStr">
        <is>
          <t xml:space="preserve">Đọc lại văn bản tuần</t>
        </is>
      </c>
      <c r="O22" s="3" t="inlineStr">
        <is>
          <t xml:space="preserve">Viết lại đoạn đã sửa</t>
        </is>
      </c>
      <c r="P22" t="inlineStr">
        <is>
          <t xml:space="preserve">—</t>
        </is>
      </c>
      <c r="Q22">
        <v>60</v>
      </c>
      <c r="R22" s="3" t="inlineStr">
        <is>
          <t xml:space="preserve">Test tuần 3</t>
        </is>
      </c>
      <c r="S22">
        <f>IF(PROGRESS!$E22="Yes","Xong","Chưa làm")</f>
      </c>
      <c r="T22" s="3" t="inlineStr">
        <is>
          <t xml:space="preserve">ngày ôn, không thêm từ</t>
        </is>
      </c>
    </row>
    <row r="23">
      <c r="A23">
        <v>22</v>
      </c>
      <c r="B23" s="2">
        <v>46321</v>
      </c>
      <c r="C23">
        <v>4</v>
      </c>
      <c r="D23" t="inlineStr">
        <is>
          <t xml:space="preserve">A0</t>
        </is>
      </c>
      <c r="E23" s="3" t="inlineStr">
        <is>
          <t xml:space="preserve">Daily life communication</t>
        </is>
      </c>
      <c r="F23" t="inlineStr">
        <is>
          <t xml:space="preserve">New concept</t>
        </is>
      </c>
      <c r="G23" t="inlineStr">
        <is>
          <t xml:space="preserve">A0-008</t>
        </is>
      </c>
      <c r="H23" s="3" t="inlineStr">
        <is>
          <t xml:space="preserve">Family &amp; people</t>
        </is>
      </c>
      <c r="I23" s="3" t="inlineStr">
        <is>
          <t xml:space="preserve">GA03 Possessive adjectives</t>
        </is>
      </c>
      <c r="J23" s="3" t="inlineStr">
        <is>
          <t xml:space="preserve">a0_food_141 · a0_food_142 · a0_food_143 · a0_food_144 · a0_food_145 · a0_food_146 · a0_food_147 · cur_v004</t>
        </is>
      </c>
      <c r="K23">
        <v>8</v>
      </c>
      <c r="L23" s="3" t="inlineStr">
        <is>
          <t xml:space="preserve">family dialogue</t>
        </is>
      </c>
      <c r="M23" s="3" t="inlineStr">
        <is>
          <t xml:space="preserve">describe your family</t>
        </is>
      </c>
      <c r="N23" s="3" t="inlineStr">
        <is>
          <t xml:space="preserve">short profile</t>
        </is>
      </c>
      <c r="O23" s="3" t="inlineStr">
        <is>
          <t xml:space="preserve">write a profile</t>
        </is>
      </c>
      <c r="P23" t="inlineStr">
        <is>
          <t xml:space="preserve">—</t>
        </is>
      </c>
      <c r="Q23">
        <v>60</v>
      </c>
      <c r="R23" s="3" t="inlineStr">
        <is>
          <t xml:space="preserve">—</t>
        </is>
      </c>
      <c r="S23">
        <f>IF(PROGRESS!$E23="Yes","Xong","Chưa làm")</f>
      </c>
      <c r="T23" s="3" t="inlineStr">
        <is>
          <t xml:space="preserve">đủ từ</t>
        </is>
      </c>
    </row>
    <row r="24">
      <c r="A24">
        <v>23</v>
      </c>
      <c r="B24" s="2">
        <v>46322</v>
      </c>
      <c r="C24">
        <v>4</v>
      </c>
      <c r="D24" t="inlineStr">
        <is>
          <t xml:space="preserve">A0</t>
        </is>
      </c>
      <c r="E24" s="3" t="inlineStr">
        <is>
          <t xml:space="preserve">Daily life communication</t>
        </is>
      </c>
      <c r="F24" t="inlineStr">
        <is>
          <t xml:space="preserve">Guided practice</t>
        </is>
      </c>
      <c r="G24" t="inlineStr">
        <is>
          <t xml:space="preserve">A0-008</t>
        </is>
      </c>
      <c r="H24" s="3" t="inlineStr">
        <is>
          <t xml:space="preserve">Family &amp; people</t>
        </is>
      </c>
      <c r="I24" s="3" t="inlineStr">
        <is>
          <t xml:space="preserve">GA03 Possessive adjectives</t>
        </is>
      </c>
      <c r="J24" s="3" t="inlineStr">
        <is>
          <t xml:space="preserve">a0_ask_148 · a0_ask_149 · a0_ask_150 · a0_ask_151 · a0_ask_152 · a0_ask_153 · a0_ask_154 · a0_ask_155</t>
        </is>
      </c>
      <c r="K24">
        <v>8</v>
      </c>
      <c r="L24" s="3" t="inlineStr">
        <is>
          <t xml:space="preserve">family dialogue</t>
        </is>
      </c>
      <c r="M24" s="3" t="inlineStr">
        <is>
          <t xml:space="preserve">describe your family</t>
        </is>
      </c>
      <c r="N24" s="3" t="inlineStr">
        <is>
          <t xml:space="preserve">short profile</t>
        </is>
      </c>
      <c r="O24" s="3" t="inlineStr">
        <is>
          <t xml:space="preserve">write a profile</t>
        </is>
      </c>
      <c r="P24" t="inlineStr">
        <is>
          <t xml:space="preserve">—</t>
        </is>
      </c>
      <c r="Q24">
        <v>60</v>
      </c>
      <c r="R24" s="3" t="inlineStr">
        <is>
          <t xml:space="preserve">—</t>
        </is>
      </c>
      <c r="S24">
        <f>IF(PROGRESS!$E24="Yes","Xong","Chưa làm")</f>
      </c>
      <c r="T24" s="3" t="inlineStr">
        <is>
          <t xml:space="preserve">đủ từ</t>
        </is>
      </c>
    </row>
    <row r="25">
      <c r="A25">
        <v>24</v>
      </c>
      <c r="B25" s="2">
        <v>46323</v>
      </c>
      <c r="C25">
        <v>4</v>
      </c>
      <c r="D25" t="inlineStr">
        <is>
          <t xml:space="preserve">A0</t>
        </is>
      </c>
      <c r="E25" s="3" t="inlineStr">
        <is>
          <t xml:space="preserve">Daily life communication</t>
        </is>
      </c>
      <c r="F25" t="inlineStr">
        <is>
          <t xml:space="preserve">Listening + shadowing</t>
        </is>
      </c>
      <c r="G25" t="inlineStr">
        <is>
          <t xml:space="preserve">A0-009</t>
        </is>
      </c>
      <c r="H25" s="3" t="inlineStr">
        <is>
          <t xml:space="preserve">Food &amp; drinks</t>
        </is>
      </c>
      <c r="I25" s="3" t="inlineStr">
        <is>
          <t xml:space="preserve">—</t>
        </is>
      </c>
      <c r="J25" s="3" t="inlineStr">
        <is>
          <t xml:space="preserve">a0_ask_156 · a0_ask_157 · a0_ask_158 · a0_ask_159 · a0_ask_160 · a0_ask_161 · a0_ask_162</t>
        </is>
      </c>
      <c r="K25">
        <v>7</v>
      </c>
      <c r="L25" s="3" t="inlineStr">
        <is>
          <t xml:space="preserve">restaurant phrases</t>
        </is>
      </c>
      <c r="M25" s="3" t="inlineStr">
        <is>
          <t xml:space="preserve">order food</t>
        </is>
      </c>
      <c r="N25" s="3" t="inlineStr">
        <is>
          <t xml:space="preserve">menu reading</t>
        </is>
      </c>
      <c r="O25" s="3" t="inlineStr">
        <is>
          <t xml:space="preserve">a simple order</t>
        </is>
      </c>
      <c r="P25" t="inlineStr">
        <is>
          <t xml:space="preserve">—</t>
        </is>
      </c>
      <c r="Q25">
        <v>60</v>
      </c>
      <c r="R25" s="3" t="inlineStr">
        <is>
          <t xml:space="preserve">—</t>
        </is>
      </c>
      <c r="S25">
        <f>IF(PROGRESS!$E25="Yes","Xong","Chưa làm")</f>
      </c>
      <c r="T25" s="3" t="inlineStr">
        <is>
          <t xml:space="preserve">CHỜ NẠP TỪ: thiếu 1</t>
        </is>
      </c>
    </row>
    <row r="26">
      <c r="A26">
        <v>25</v>
      </c>
      <c r="B26" s="2">
        <v>46324</v>
      </c>
      <c r="C26">
        <v>4</v>
      </c>
      <c r="D26" t="inlineStr">
        <is>
          <t xml:space="preserve">A0</t>
        </is>
      </c>
      <c r="E26" s="3" t="inlineStr">
        <is>
          <t xml:space="preserve">Daily life communication</t>
        </is>
      </c>
      <c r="F26" t="inlineStr">
        <is>
          <t xml:space="preserve">Speaking drill</t>
        </is>
      </c>
      <c r="G26" t="inlineStr">
        <is>
          <t xml:space="preserve">A0-009</t>
        </is>
      </c>
      <c r="H26" s="3" t="inlineStr">
        <is>
          <t xml:space="preserve">Food &amp; drinks</t>
        </is>
      </c>
      <c r="I26" s="3" t="inlineStr">
        <is>
          <t xml:space="preserve">—</t>
        </is>
      </c>
      <c r="J26" s="3" t="inlineStr">
        <is>
          <t xml:space="preserve">—</t>
        </is>
      </c>
      <c r="K26">
        <v>0</v>
      </c>
      <c r="L26" s="3" t="inlineStr">
        <is>
          <t xml:space="preserve">restaurant phrases</t>
        </is>
      </c>
      <c r="M26" s="3" t="inlineStr">
        <is>
          <t xml:space="preserve">order food</t>
        </is>
      </c>
      <c r="N26" s="3" t="inlineStr">
        <is>
          <t xml:space="preserve">menu reading</t>
        </is>
      </c>
      <c r="O26" s="3" t="inlineStr">
        <is>
          <t xml:space="preserve">a simple order</t>
        </is>
      </c>
      <c r="P26" t="inlineStr">
        <is>
          <t xml:space="preserve">—</t>
        </is>
      </c>
      <c r="Q26">
        <v>60</v>
      </c>
      <c r="R26" s="3" t="inlineStr">
        <is>
          <t xml:space="preserve">—</t>
        </is>
      </c>
      <c r="S26">
        <f>IF(PROGRESS!$E26="Yes","Xong","Chưa làm")</f>
      </c>
      <c r="T26" s="3" t="inlineStr">
        <is>
          <t xml:space="preserve">CHỜ NẠP TỪ: thiếu 8</t>
        </is>
      </c>
    </row>
    <row r="27">
      <c r="A27">
        <v>26</v>
      </c>
      <c r="B27" s="2">
        <v>46325</v>
      </c>
      <c r="C27">
        <v>4</v>
      </c>
      <c r="D27" t="inlineStr">
        <is>
          <t xml:space="preserve">A0</t>
        </is>
      </c>
      <c r="E27" s="3" t="inlineStr">
        <is>
          <t xml:space="preserve">Daily life communication</t>
        </is>
      </c>
      <c r="F27" t="inlineStr">
        <is>
          <t xml:space="preserve">Reading + vocabulary</t>
        </is>
      </c>
      <c r="G27" t="inlineStr">
        <is>
          <t xml:space="preserve">A0-010</t>
        </is>
      </c>
      <c r="H27" s="3" t="inlineStr">
        <is>
          <t xml:space="preserve">Basic questions</t>
        </is>
      </c>
      <c r="I27" s="3" t="inlineStr">
        <is>
          <t xml:space="preserve">GA06 Wh- questions</t>
        </is>
      </c>
      <c r="J27" s="3" t="inlineStr">
        <is>
          <t xml:space="preserve">—</t>
        </is>
      </c>
      <c r="K27">
        <v>0</v>
      </c>
      <c r="L27" s="3" t="inlineStr">
        <is>
          <t xml:space="preserve">Q&amp;A</t>
        </is>
      </c>
      <c r="M27" s="3" t="inlineStr">
        <is>
          <t xml:space="preserve">ask and answer</t>
        </is>
      </c>
      <c r="N27" s="3" t="inlineStr">
        <is>
          <t xml:space="preserve">read Q&amp;A</t>
        </is>
      </c>
      <c r="O27" s="3" t="inlineStr">
        <is>
          <t xml:space="preserve">write questions</t>
        </is>
      </c>
      <c r="P27" t="inlineStr">
        <is>
          <t xml:space="preserve">—</t>
        </is>
      </c>
      <c r="Q27">
        <v>60</v>
      </c>
      <c r="R27" s="3" t="inlineStr">
        <is>
          <t xml:space="preserve">—</t>
        </is>
      </c>
      <c r="S27">
        <f>IF(PROGRESS!$E27="Yes","Xong","Chưa làm")</f>
      </c>
      <c r="T27" s="3" t="inlineStr">
        <is>
          <t xml:space="preserve">CHỜ NẠP TỪ: thiếu 8</t>
        </is>
      </c>
    </row>
    <row r="28">
      <c r="A28">
        <v>27</v>
      </c>
      <c r="B28" s="2">
        <v>46326</v>
      </c>
      <c r="C28">
        <v>4</v>
      </c>
      <c r="D28" t="inlineStr">
        <is>
          <t xml:space="preserve">A0</t>
        </is>
      </c>
      <c r="E28" s="3" t="inlineStr">
        <is>
          <t xml:space="preserve">Daily life communication</t>
        </is>
      </c>
      <c r="F28" t="inlineStr">
        <is>
          <t xml:space="preserve">Writing + correction</t>
        </is>
      </c>
      <c r="G28" t="inlineStr">
        <is>
          <t xml:space="preserve">A0-010</t>
        </is>
      </c>
      <c r="H28" s="3" t="inlineStr">
        <is>
          <t xml:space="preserve">Basic questions</t>
        </is>
      </c>
      <c r="I28" s="3" t="inlineStr">
        <is>
          <t xml:space="preserve">GA06 Wh- questions</t>
        </is>
      </c>
      <c r="J28" s="3" t="inlineStr">
        <is>
          <t xml:space="preserve">—</t>
        </is>
      </c>
      <c r="K28">
        <v>0</v>
      </c>
      <c r="L28" s="3" t="inlineStr">
        <is>
          <t xml:space="preserve">Q&amp;A</t>
        </is>
      </c>
      <c r="M28" s="3" t="inlineStr">
        <is>
          <t xml:space="preserve">ask and answer</t>
        </is>
      </c>
      <c r="N28" s="3" t="inlineStr">
        <is>
          <t xml:space="preserve">read Q&amp;A</t>
        </is>
      </c>
      <c r="O28" s="3" t="inlineStr">
        <is>
          <t xml:space="preserve">write questions</t>
        </is>
      </c>
      <c r="P28" t="inlineStr">
        <is>
          <t xml:space="preserve">—</t>
        </is>
      </c>
      <c r="Q28">
        <v>60</v>
      </c>
      <c r="R28" s="3" t="inlineStr">
        <is>
          <t xml:space="preserve">—</t>
        </is>
      </c>
      <c r="S28">
        <f>IF(PROGRESS!$E28="Yes","Xong","Chưa làm")</f>
      </c>
      <c r="T28" s="3" t="inlineStr">
        <is>
          <t xml:space="preserve">CHỜ NẠP TỪ: thiếu 8</t>
        </is>
      </c>
    </row>
    <row r="29">
      <c r="A29">
        <v>28</v>
      </c>
      <c r="B29" s="2">
        <v>46327</v>
      </c>
      <c r="C29">
        <v>4</v>
      </c>
      <c r="D29" t="inlineStr">
        <is>
          <t xml:space="preserve">A0</t>
        </is>
      </c>
      <c r="E29" s="3" t="inlineStr">
        <is>
          <t xml:space="preserve">Daily life communication</t>
        </is>
      </c>
      <c r="F29" t="inlineStr">
        <is>
          <t xml:space="preserve">Weekly review</t>
        </is>
      </c>
      <c r="G29" t="inlineStr">
        <is>
          <t xml:space="preserve">—</t>
        </is>
      </c>
      <c r="H29" s="3" t="inlineStr">
        <is>
          <t xml:space="preserve">Ôn tổng hợp tuần 4</t>
        </is>
      </c>
      <c r="I29" s="3" t="inlineStr">
        <is>
          <t xml:space="preserve">—</t>
        </is>
      </c>
      <c r="J29" s="3" t="inlineStr">
        <is>
          <t xml:space="preserve">—</t>
        </is>
      </c>
      <c r="K29">
        <v>0</v>
      </c>
      <c r="L29" s="3" t="inlineStr">
        <is>
          <t xml:space="preserve">Ôn theo sheet DUE</t>
        </is>
      </c>
      <c r="M29" s="3" t="inlineStr">
        <is>
          <t xml:space="preserve">Nói lại 5 câu của tuần</t>
        </is>
      </c>
      <c r="N29" s="3" t="inlineStr">
        <is>
          <t xml:space="preserve">Đọc lại văn bản tuần</t>
        </is>
      </c>
      <c r="O29" s="3" t="inlineStr">
        <is>
          <t xml:space="preserve">Viết lại đoạn đã sửa</t>
        </is>
      </c>
      <c r="P29" t="inlineStr">
        <is>
          <t xml:space="preserve">—</t>
        </is>
      </c>
      <c r="Q29">
        <v>60</v>
      </c>
      <c r="R29" s="3" t="inlineStr">
        <is>
          <t xml:space="preserve">Test chốt A0 (mục tiêu 70% + nói được 10 câu cơ bản)</t>
        </is>
      </c>
      <c r="S29">
        <f>IF(PROGRESS!$E29="Yes","Xong","Chưa làm")</f>
      </c>
      <c r="T29" s="3" t="inlineStr">
        <is>
          <t xml:space="preserve">ngày ôn, không thêm từ</t>
        </is>
      </c>
    </row>
    <row r="30">
      <c r="A30">
        <v>29</v>
      </c>
      <c r="B30" s="2">
        <v>46328</v>
      </c>
      <c r="C30">
        <v>5</v>
      </c>
      <c r="D30" t="inlineStr">
        <is>
          <t xml:space="preserve">A1</t>
        </is>
      </c>
      <c r="E30" s="3" t="inlineStr">
        <is>
          <t xml:space="preserve">Present Simple &amp; routines</t>
        </is>
      </c>
      <c r="F30" t="inlineStr">
        <is>
          <t xml:space="preserve">New concept</t>
        </is>
      </c>
      <c r="G30" t="inlineStr">
        <is>
          <t xml:space="preserve">A1-011</t>
        </is>
      </c>
      <c r="H30" s="3" t="inlineStr">
        <is>
          <t xml:space="preserve">Present Simple</t>
        </is>
      </c>
      <c r="I30" s="3" t="inlineStr">
        <is>
          <t xml:space="preserve">GA11 Present Simple</t>
        </is>
      </c>
      <c r="J30" s="3" t="inlineStr">
        <is>
          <t xml:space="preserve">cur_v006 · cur_v008 · cur_v009 · a1_daily_001 · a1_daily_002 · a1_daily_003 · a1_daily_004 · a1_daily_005 · a1_daily_006 · a1_daily_007</t>
        </is>
      </c>
      <c r="K30">
        <v>10</v>
      </c>
      <c r="L30" s="3" t="inlineStr">
        <is>
          <t xml:space="preserve">routine audio</t>
        </is>
      </c>
      <c r="M30" s="3" t="inlineStr">
        <is>
          <t xml:space="preserve">talk about your routine</t>
        </is>
      </c>
      <c r="N30" s="3" t="inlineStr">
        <is>
          <t xml:space="preserve">daily text</t>
        </is>
      </c>
      <c r="O30" s="3" t="inlineStr">
        <is>
          <t xml:space="preserve">routine paragraph</t>
        </is>
      </c>
      <c r="P30" t="inlineStr">
        <is>
          <t xml:space="preserve">E004, E005, E006</t>
        </is>
      </c>
      <c r="Q30">
        <v>60</v>
      </c>
      <c r="R30" s="3" t="inlineStr">
        <is>
          <t xml:space="preserve">—</t>
        </is>
      </c>
      <c r="S30">
        <f>IF(PROGRESS!$E30="Yes","Xong","Chưa làm")</f>
      </c>
      <c r="T30" s="3" t="inlineStr">
        <is>
          <t xml:space="preserve">đủ từ</t>
        </is>
      </c>
    </row>
    <row r="31">
      <c r="A31">
        <v>30</v>
      </c>
      <c r="B31" s="2">
        <v>46329</v>
      </c>
      <c r="C31">
        <v>5</v>
      </c>
      <c r="D31" t="inlineStr">
        <is>
          <t xml:space="preserve">A1</t>
        </is>
      </c>
      <c r="E31" s="3" t="inlineStr">
        <is>
          <t xml:space="preserve">Present Simple &amp; routines</t>
        </is>
      </c>
      <c r="F31" t="inlineStr">
        <is>
          <t xml:space="preserve">Guided practice</t>
        </is>
      </c>
      <c r="G31" t="inlineStr">
        <is>
          <t xml:space="preserve">A1-011</t>
        </is>
      </c>
      <c r="H31" s="3" t="inlineStr">
        <is>
          <t xml:space="preserve">Present Simple</t>
        </is>
      </c>
      <c r="I31" s="3" t="inlineStr">
        <is>
          <t xml:space="preserve">GA11 Present Simple</t>
        </is>
      </c>
      <c r="J31" s="3" t="inlineStr">
        <is>
          <t xml:space="preserve">a1_daily_008 · a1_daily_009 · a1_daily_010 · a1_daily_011 · a1_daily_012 · a1_daily_013 · a1_daily_014 · a1_travel_001 · a1_travel_002 · a1_travel_003</t>
        </is>
      </c>
      <c r="K31">
        <v>10</v>
      </c>
      <c r="L31" s="3" t="inlineStr">
        <is>
          <t xml:space="preserve">routine audio</t>
        </is>
      </c>
      <c r="M31" s="3" t="inlineStr">
        <is>
          <t xml:space="preserve">talk about your routine</t>
        </is>
      </c>
      <c r="N31" s="3" t="inlineStr">
        <is>
          <t xml:space="preserve">daily text</t>
        </is>
      </c>
      <c r="O31" s="3" t="inlineStr">
        <is>
          <t xml:space="preserve">routine paragraph</t>
        </is>
      </c>
      <c r="P31" t="inlineStr">
        <is>
          <t xml:space="preserve">E004, E005, E006</t>
        </is>
      </c>
      <c r="Q31">
        <v>60</v>
      </c>
      <c r="R31" s="3" t="inlineStr">
        <is>
          <t xml:space="preserve">—</t>
        </is>
      </c>
      <c r="S31">
        <f>IF(PROGRESS!$E31="Yes","Xong","Chưa làm")</f>
      </c>
      <c r="T31" s="3" t="inlineStr">
        <is>
          <t xml:space="preserve">đủ từ</t>
        </is>
      </c>
    </row>
    <row r="32">
      <c r="A32">
        <v>31</v>
      </c>
      <c r="B32" s="2">
        <v>46330</v>
      </c>
      <c r="C32">
        <v>5</v>
      </c>
      <c r="D32" t="inlineStr">
        <is>
          <t xml:space="preserve">A1</t>
        </is>
      </c>
      <c r="E32" s="3" t="inlineStr">
        <is>
          <t xml:space="preserve">Present Simple &amp; routines</t>
        </is>
      </c>
      <c r="F32" t="inlineStr">
        <is>
          <t xml:space="preserve">Listening + shadowing</t>
        </is>
      </c>
      <c r="G32" t="inlineStr">
        <is>
          <t xml:space="preserve">A1-011</t>
        </is>
      </c>
      <c r="H32" s="3" t="inlineStr">
        <is>
          <t xml:space="preserve">Present Simple</t>
        </is>
      </c>
      <c r="I32" s="3" t="inlineStr">
        <is>
          <t xml:space="preserve">GA11 Present Simple</t>
        </is>
      </c>
      <c r="J32" s="3" t="inlineStr">
        <is>
          <t xml:space="preserve">a1_travel_004 · a1_travel_005 · a1_travel_006 · a1_travel_007 · a1_travel_008 · a1_travel_009 · a1_travel_010 · a1_travel_011 · a1_travel_012</t>
        </is>
      </c>
      <c r="K32">
        <v>9</v>
      </c>
      <c r="L32" s="3" t="inlineStr">
        <is>
          <t xml:space="preserve">routine audio</t>
        </is>
      </c>
      <c r="M32" s="3" t="inlineStr">
        <is>
          <t xml:space="preserve">talk about your routine</t>
        </is>
      </c>
      <c r="N32" s="3" t="inlineStr">
        <is>
          <t xml:space="preserve">daily text</t>
        </is>
      </c>
      <c r="O32" s="3" t="inlineStr">
        <is>
          <t xml:space="preserve">routine paragraph</t>
        </is>
      </c>
      <c r="P32" t="inlineStr">
        <is>
          <t xml:space="preserve">E004, E005, E006</t>
        </is>
      </c>
      <c r="Q32">
        <v>60</v>
      </c>
      <c r="R32" s="3" t="inlineStr">
        <is>
          <t xml:space="preserve">—</t>
        </is>
      </c>
      <c r="S32">
        <f>IF(PROGRESS!$E32="Yes","Xong","Chưa làm")</f>
      </c>
      <c r="T32" s="3" t="inlineStr">
        <is>
          <t xml:space="preserve">CHỜ NẠP TỪ: thiếu 1</t>
        </is>
      </c>
    </row>
    <row r="33">
      <c r="A33">
        <v>32</v>
      </c>
      <c r="B33" s="2">
        <v>46331</v>
      </c>
      <c r="C33">
        <v>5</v>
      </c>
      <c r="D33" t="inlineStr">
        <is>
          <t xml:space="preserve">A1</t>
        </is>
      </c>
      <c r="E33" s="3" t="inlineStr">
        <is>
          <t xml:space="preserve">Present Simple &amp; routines</t>
        </is>
      </c>
      <c r="F33" t="inlineStr">
        <is>
          <t xml:space="preserve">Speaking drill</t>
        </is>
      </c>
      <c r="G33" t="inlineStr">
        <is>
          <t xml:space="preserve">A1-011</t>
        </is>
      </c>
      <c r="H33" s="3" t="inlineStr">
        <is>
          <t xml:space="preserve">Present Simple</t>
        </is>
      </c>
      <c r="I33" s="3" t="inlineStr">
        <is>
          <t xml:space="preserve">GA11 Present Simple</t>
        </is>
      </c>
      <c r="J33" s="3" t="inlineStr">
        <is>
          <t xml:space="preserve">—</t>
        </is>
      </c>
      <c r="K33">
        <v>0</v>
      </c>
      <c r="L33" s="3" t="inlineStr">
        <is>
          <t xml:space="preserve">routine audio</t>
        </is>
      </c>
      <c r="M33" s="3" t="inlineStr">
        <is>
          <t xml:space="preserve">talk about your routine</t>
        </is>
      </c>
      <c r="N33" s="3" t="inlineStr">
        <is>
          <t xml:space="preserve">daily text</t>
        </is>
      </c>
      <c r="O33" s="3" t="inlineStr">
        <is>
          <t xml:space="preserve">routine paragraph</t>
        </is>
      </c>
      <c r="P33" t="inlineStr">
        <is>
          <t xml:space="preserve">E004, E005, E006</t>
        </is>
      </c>
      <c r="Q33">
        <v>60</v>
      </c>
      <c r="R33" s="3" t="inlineStr">
        <is>
          <t xml:space="preserve">—</t>
        </is>
      </c>
      <c r="S33">
        <f>IF(PROGRESS!$E33="Yes","Xong","Chưa làm")</f>
      </c>
      <c r="T33" s="3" t="inlineStr">
        <is>
          <t xml:space="preserve">CHỜ NẠP TỪ: thiếu 10</t>
        </is>
      </c>
    </row>
    <row r="34">
      <c r="A34">
        <v>33</v>
      </c>
      <c r="B34" s="2">
        <v>46332</v>
      </c>
      <c r="C34">
        <v>5</v>
      </c>
      <c r="D34" t="inlineStr">
        <is>
          <t xml:space="preserve">A1</t>
        </is>
      </c>
      <c r="E34" s="3" t="inlineStr">
        <is>
          <t xml:space="preserve">Present Simple &amp; routines</t>
        </is>
      </c>
      <c r="F34" t="inlineStr">
        <is>
          <t xml:space="preserve">Reading + vocabulary</t>
        </is>
      </c>
      <c r="G34" t="inlineStr">
        <is>
          <t xml:space="preserve">A1-011</t>
        </is>
      </c>
      <c r="H34" s="3" t="inlineStr">
        <is>
          <t xml:space="preserve">Present Simple</t>
        </is>
      </c>
      <c r="I34" s="3" t="inlineStr">
        <is>
          <t xml:space="preserve">GA11 Present Simple</t>
        </is>
      </c>
      <c r="J34" s="3" t="inlineStr">
        <is>
          <t xml:space="preserve">—</t>
        </is>
      </c>
      <c r="K34">
        <v>0</v>
      </c>
      <c r="L34" s="3" t="inlineStr">
        <is>
          <t xml:space="preserve">routine audio</t>
        </is>
      </c>
      <c r="M34" s="3" t="inlineStr">
        <is>
          <t xml:space="preserve">talk about your routine</t>
        </is>
      </c>
      <c r="N34" s="3" t="inlineStr">
        <is>
          <t xml:space="preserve">daily text</t>
        </is>
      </c>
      <c r="O34" s="3" t="inlineStr">
        <is>
          <t xml:space="preserve">routine paragraph</t>
        </is>
      </c>
      <c r="P34" t="inlineStr">
        <is>
          <t xml:space="preserve">E004, E005, E006</t>
        </is>
      </c>
      <c r="Q34">
        <v>60</v>
      </c>
      <c r="R34" s="3" t="inlineStr">
        <is>
          <t xml:space="preserve">—</t>
        </is>
      </c>
      <c r="S34">
        <f>IF(PROGRESS!$E34="Yes","Xong","Chưa làm")</f>
      </c>
      <c r="T34" s="3" t="inlineStr">
        <is>
          <t xml:space="preserve">CHỜ NẠP TỪ: thiếu 10</t>
        </is>
      </c>
    </row>
    <row r="35">
      <c r="A35">
        <v>34</v>
      </c>
      <c r="B35" s="2">
        <v>46333</v>
      </c>
      <c r="C35">
        <v>5</v>
      </c>
      <c r="D35" t="inlineStr">
        <is>
          <t xml:space="preserve">A1</t>
        </is>
      </c>
      <c r="E35" s="3" t="inlineStr">
        <is>
          <t xml:space="preserve">Present Simple &amp; routines</t>
        </is>
      </c>
      <c r="F35" t="inlineStr">
        <is>
          <t xml:space="preserve">Writing + correction</t>
        </is>
      </c>
      <c r="G35" t="inlineStr">
        <is>
          <t xml:space="preserve">A1-011</t>
        </is>
      </c>
      <c r="H35" s="3" t="inlineStr">
        <is>
          <t xml:space="preserve">Present Simple</t>
        </is>
      </c>
      <c r="I35" s="3" t="inlineStr">
        <is>
          <t xml:space="preserve">GA11 Present Simple</t>
        </is>
      </c>
      <c r="J35" s="3" t="inlineStr">
        <is>
          <t xml:space="preserve">—</t>
        </is>
      </c>
      <c r="K35">
        <v>0</v>
      </c>
      <c r="L35" s="3" t="inlineStr">
        <is>
          <t xml:space="preserve">routine audio</t>
        </is>
      </c>
      <c r="M35" s="3" t="inlineStr">
        <is>
          <t xml:space="preserve">talk about your routine</t>
        </is>
      </c>
      <c r="N35" s="3" t="inlineStr">
        <is>
          <t xml:space="preserve">daily text</t>
        </is>
      </c>
      <c r="O35" s="3" t="inlineStr">
        <is>
          <t xml:space="preserve">routine paragraph</t>
        </is>
      </c>
      <c r="P35" t="inlineStr">
        <is>
          <t xml:space="preserve">E004, E005, E006</t>
        </is>
      </c>
      <c r="Q35">
        <v>60</v>
      </c>
      <c r="R35" s="3" t="inlineStr">
        <is>
          <t xml:space="preserve">—</t>
        </is>
      </c>
      <c r="S35">
        <f>IF(PROGRESS!$E35="Yes","Xong","Chưa làm")</f>
      </c>
      <c r="T35" s="3" t="inlineStr">
        <is>
          <t xml:space="preserve">CHỜ NẠP TỪ: thiếu 10</t>
        </is>
      </c>
    </row>
    <row r="36">
      <c r="A36">
        <v>35</v>
      </c>
      <c r="B36" s="2">
        <v>46334</v>
      </c>
      <c r="C36">
        <v>5</v>
      </c>
      <c r="D36" t="inlineStr">
        <is>
          <t xml:space="preserve">A1</t>
        </is>
      </c>
      <c r="E36" s="3" t="inlineStr">
        <is>
          <t xml:space="preserve">Present Simple &amp; routines</t>
        </is>
      </c>
      <c r="F36" t="inlineStr">
        <is>
          <t xml:space="preserve">Weekly review</t>
        </is>
      </c>
      <c r="G36" t="inlineStr">
        <is>
          <t xml:space="preserve">—</t>
        </is>
      </c>
      <c r="H36" s="3" t="inlineStr">
        <is>
          <t xml:space="preserve">Ôn tổng hợp tuần 5</t>
        </is>
      </c>
      <c r="I36" s="3" t="inlineStr">
        <is>
          <t xml:space="preserve">—</t>
        </is>
      </c>
      <c r="J36" s="3" t="inlineStr">
        <is>
          <t xml:space="preserve">—</t>
        </is>
      </c>
      <c r="K36">
        <v>0</v>
      </c>
      <c r="L36" s="3" t="inlineStr">
        <is>
          <t xml:space="preserve">Ôn theo sheet DUE</t>
        </is>
      </c>
      <c r="M36" s="3" t="inlineStr">
        <is>
          <t xml:space="preserve">Nói lại 5 câu của tuần</t>
        </is>
      </c>
      <c r="N36" s="3" t="inlineStr">
        <is>
          <t xml:space="preserve">Đọc lại văn bản tuần</t>
        </is>
      </c>
      <c r="O36" s="3" t="inlineStr">
        <is>
          <t xml:space="preserve">Viết lại đoạn đã sửa</t>
        </is>
      </c>
      <c r="P36" t="inlineStr">
        <is>
          <t xml:space="preserve">E004, E005, E006</t>
        </is>
      </c>
      <c r="Q36">
        <v>60</v>
      </c>
      <c r="R36" s="3" t="inlineStr">
        <is>
          <t xml:space="preserve">Test tuần 5</t>
        </is>
      </c>
      <c r="S36">
        <f>IF(PROGRESS!$E36="Yes","Xong","Chưa làm")</f>
      </c>
      <c r="T36" s="3" t="inlineStr">
        <is>
          <t xml:space="preserve">ngày ôn, không thêm từ</t>
        </is>
      </c>
    </row>
    <row r="37">
      <c r="A37">
        <v>36</v>
      </c>
      <c r="B37" s="2">
        <v>46335</v>
      </c>
      <c r="C37">
        <v>6</v>
      </c>
      <c r="D37" t="inlineStr">
        <is>
          <t xml:space="preserve">A1</t>
        </is>
      </c>
      <c r="E37" s="3" t="inlineStr">
        <is>
          <t xml:space="preserve">Present Continuous &amp; current actions</t>
        </is>
      </c>
      <c r="F37" t="inlineStr">
        <is>
          <t xml:space="preserve">New concept</t>
        </is>
      </c>
      <c r="G37" t="inlineStr">
        <is>
          <t xml:space="preserve">A1-012</t>
        </is>
      </c>
      <c r="H37" s="3" t="inlineStr">
        <is>
          <t xml:space="preserve">Present Continuous</t>
        </is>
      </c>
      <c r="I37" s="3" t="inlineStr">
        <is>
          <t xml:space="preserve">GA12 Present Continuous</t>
        </is>
      </c>
      <c r="J37" s="3" t="inlineStr">
        <is>
          <t xml:space="preserve">—</t>
        </is>
      </c>
      <c r="K37">
        <v>0</v>
      </c>
      <c r="L37" s="3" t="inlineStr">
        <is>
          <t xml:space="preserve">activity audio</t>
        </is>
      </c>
      <c r="M37" s="3" t="inlineStr">
        <is>
          <t xml:space="preserve">describe what is happening now</t>
        </is>
      </c>
      <c r="N37" s="3" t="inlineStr">
        <is>
          <t xml:space="preserve">short story</t>
        </is>
      </c>
      <c r="O37" s="3" t="inlineStr">
        <is>
          <t xml:space="preserve">current activity</t>
        </is>
      </c>
      <c r="P37" t="inlineStr">
        <is>
          <t xml:space="preserve">—</t>
        </is>
      </c>
      <c r="Q37">
        <v>60</v>
      </c>
      <c r="R37" s="3" t="inlineStr">
        <is>
          <t xml:space="preserve">—</t>
        </is>
      </c>
      <c r="S37">
        <f>IF(PROGRESS!$E37="Yes","Xong","Chưa làm")</f>
      </c>
      <c r="T37" s="3" t="inlineStr">
        <is>
          <t xml:space="preserve">CHỜ NẠP TỪ: thiếu 10</t>
        </is>
      </c>
    </row>
    <row r="38">
      <c r="A38">
        <v>37</v>
      </c>
      <c r="B38" s="2">
        <v>46336</v>
      </c>
      <c r="C38">
        <v>6</v>
      </c>
      <c r="D38" t="inlineStr">
        <is>
          <t xml:space="preserve">A1</t>
        </is>
      </c>
      <c r="E38" s="3" t="inlineStr">
        <is>
          <t xml:space="preserve">Present Continuous &amp; current actions</t>
        </is>
      </c>
      <c r="F38" t="inlineStr">
        <is>
          <t xml:space="preserve">Guided practice</t>
        </is>
      </c>
      <c r="G38" t="inlineStr">
        <is>
          <t xml:space="preserve">A1-012</t>
        </is>
      </c>
      <c r="H38" s="3" t="inlineStr">
        <is>
          <t xml:space="preserve">Present Continuous</t>
        </is>
      </c>
      <c r="I38" s="3" t="inlineStr">
        <is>
          <t xml:space="preserve">GA12 Present Continuous</t>
        </is>
      </c>
      <c r="J38" s="3" t="inlineStr">
        <is>
          <t xml:space="preserve">—</t>
        </is>
      </c>
      <c r="K38">
        <v>0</v>
      </c>
      <c r="L38" s="3" t="inlineStr">
        <is>
          <t xml:space="preserve">activity audio</t>
        </is>
      </c>
      <c r="M38" s="3" t="inlineStr">
        <is>
          <t xml:space="preserve">describe what is happening now</t>
        </is>
      </c>
      <c r="N38" s="3" t="inlineStr">
        <is>
          <t xml:space="preserve">short story</t>
        </is>
      </c>
      <c r="O38" s="3" t="inlineStr">
        <is>
          <t xml:space="preserve">current activity</t>
        </is>
      </c>
      <c r="P38" t="inlineStr">
        <is>
          <t xml:space="preserve">—</t>
        </is>
      </c>
      <c r="Q38">
        <v>60</v>
      </c>
      <c r="R38" s="3" t="inlineStr">
        <is>
          <t xml:space="preserve">—</t>
        </is>
      </c>
      <c r="S38">
        <f>IF(PROGRESS!$E38="Yes","Xong","Chưa làm")</f>
      </c>
      <c r="T38" s="3" t="inlineStr">
        <is>
          <t xml:space="preserve">CHỜ NẠP TỪ: thiếu 10</t>
        </is>
      </c>
    </row>
    <row r="39">
      <c r="A39">
        <v>38</v>
      </c>
      <c r="B39" s="2">
        <v>46337</v>
      </c>
      <c r="C39">
        <v>6</v>
      </c>
      <c r="D39" t="inlineStr">
        <is>
          <t xml:space="preserve">A1</t>
        </is>
      </c>
      <c r="E39" s="3" t="inlineStr">
        <is>
          <t xml:space="preserve">Present Continuous &amp; current actions</t>
        </is>
      </c>
      <c r="F39" t="inlineStr">
        <is>
          <t xml:space="preserve">Listening + shadowing</t>
        </is>
      </c>
      <c r="G39" t="inlineStr">
        <is>
          <t xml:space="preserve">A1-012</t>
        </is>
      </c>
      <c r="H39" s="3" t="inlineStr">
        <is>
          <t xml:space="preserve">Present Continuous</t>
        </is>
      </c>
      <c r="I39" s="3" t="inlineStr">
        <is>
          <t xml:space="preserve">GA12 Present Continuous</t>
        </is>
      </c>
      <c r="J39" s="3" t="inlineStr">
        <is>
          <t xml:space="preserve">—</t>
        </is>
      </c>
      <c r="K39">
        <v>0</v>
      </c>
      <c r="L39" s="3" t="inlineStr">
        <is>
          <t xml:space="preserve">activity audio</t>
        </is>
      </c>
      <c r="M39" s="3" t="inlineStr">
        <is>
          <t xml:space="preserve">describe what is happening now</t>
        </is>
      </c>
      <c r="N39" s="3" t="inlineStr">
        <is>
          <t xml:space="preserve">short story</t>
        </is>
      </c>
      <c r="O39" s="3" t="inlineStr">
        <is>
          <t xml:space="preserve">current activity</t>
        </is>
      </c>
      <c r="P39" t="inlineStr">
        <is>
          <t xml:space="preserve">—</t>
        </is>
      </c>
      <c r="Q39">
        <v>60</v>
      </c>
      <c r="R39" s="3" t="inlineStr">
        <is>
          <t xml:space="preserve">—</t>
        </is>
      </c>
      <c r="S39">
        <f>IF(PROGRESS!$E39="Yes","Xong","Chưa làm")</f>
      </c>
      <c r="T39" s="3" t="inlineStr">
        <is>
          <t xml:space="preserve">CHỜ NẠP TỪ: thiếu 10</t>
        </is>
      </c>
    </row>
    <row r="40">
      <c r="A40">
        <v>39</v>
      </c>
      <c r="B40" s="2">
        <v>46338</v>
      </c>
      <c r="C40">
        <v>6</v>
      </c>
      <c r="D40" t="inlineStr">
        <is>
          <t xml:space="preserve">A1</t>
        </is>
      </c>
      <c r="E40" s="3" t="inlineStr">
        <is>
          <t xml:space="preserve">Present Continuous &amp; current actions</t>
        </is>
      </c>
      <c r="F40" t="inlineStr">
        <is>
          <t xml:space="preserve">Speaking drill</t>
        </is>
      </c>
      <c r="G40" t="inlineStr">
        <is>
          <t xml:space="preserve">A1-012</t>
        </is>
      </c>
      <c r="H40" s="3" t="inlineStr">
        <is>
          <t xml:space="preserve">Present Continuous</t>
        </is>
      </c>
      <c r="I40" s="3" t="inlineStr">
        <is>
          <t xml:space="preserve">GA12 Present Continuous</t>
        </is>
      </c>
      <c r="J40" s="3" t="inlineStr">
        <is>
          <t xml:space="preserve">—</t>
        </is>
      </c>
      <c r="K40">
        <v>0</v>
      </c>
      <c r="L40" s="3" t="inlineStr">
        <is>
          <t xml:space="preserve">activity audio</t>
        </is>
      </c>
      <c r="M40" s="3" t="inlineStr">
        <is>
          <t xml:space="preserve">describe what is happening now</t>
        </is>
      </c>
      <c r="N40" s="3" t="inlineStr">
        <is>
          <t xml:space="preserve">short story</t>
        </is>
      </c>
      <c r="O40" s="3" t="inlineStr">
        <is>
          <t xml:space="preserve">current activity</t>
        </is>
      </c>
      <c r="P40" t="inlineStr">
        <is>
          <t xml:space="preserve">—</t>
        </is>
      </c>
      <c r="Q40">
        <v>60</v>
      </c>
      <c r="R40" s="3" t="inlineStr">
        <is>
          <t xml:space="preserve">—</t>
        </is>
      </c>
      <c r="S40">
        <f>IF(PROGRESS!$E40="Yes","Xong","Chưa làm")</f>
      </c>
      <c r="T40" s="3" t="inlineStr">
        <is>
          <t xml:space="preserve">CHỜ NẠP TỪ: thiếu 10</t>
        </is>
      </c>
    </row>
    <row r="41">
      <c r="A41">
        <v>40</v>
      </c>
      <c r="B41" s="2">
        <v>46339</v>
      </c>
      <c r="C41">
        <v>6</v>
      </c>
      <c r="D41" t="inlineStr">
        <is>
          <t xml:space="preserve">A1</t>
        </is>
      </c>
      <c r="E41" s="3" t="inlineStr">
        <is>
          <t xml:space="preserve">Present Continuous &amp; current actions</t>
        </is>
      </c>
      <c r="F41" t="inlineStr">
        <is>
          <t xml:space="preserve">Reading + vocabulary</t>
        </is>
      </c>
      <c r="G41" t="inlineStr">
        <is>
          <t xml:space="preserve">A1-012</t>
        </is>
      </c>
      <c r="H41" s="3" t="inlineStr">
        <is>
          <t xml:space="preserve">Present Continuous</t>
        </is>
      </c>
      <c r="I41" s="3" t="inlineStr">
        <is>
          <t xml:space="preserve">GA12 Present Continuous</t>
        </is>
      </c>
      <c r="J41" s="3" t="inlineStr">
        <is>
          <t xml:space="preserve">—</t>
        </is>
      </c>
      <c r="K41">
        <v>0</v>
      </c>
      <c r="L41" s="3" t="inlineStr">
        <is>
          <t xml:space="preserve">activity audio</t>
        </is>
      </c>
      <c r="M41" s="3" t="inlineStr">
        <is>
          <t xml:space="preserve">describe what is happening now</t>
        </is>
      </c>
      <c r="N41" s="3" t="inlineStr">
        <is>
          <t xml:space="preserve">short story</t>
        </is>
      </c>
      <c r="O41" s="3" t="inlineStr">
        <is>
          <t xml:space="preserve">current activity</t>
        </is>
      </c>
      <c r="P41" t="inlineStr">
        <is>
          <t xml:space="preserve">—</t>
        </is>
      </c>
      <c r="Q41">
        <v>60</v>
      </c>
      <c r="R41" s="3" t="inlineStr">
        <is>
          <t xml:space="preserve">—</t>
        </is>
      </c>
      <c r="S41">
        <f>IF(PROGRESS!$E41="Yes","Xong","Chưa làm")</f>
      </c>
      <c r="T41" s="3" t="inlineStr">
        <is>
          <t xml:space="preserve">CHỜ NẠP TỪ: thiếu 10</t>
        </is>
      </c>
    </row>
    <row r="42">
      <c r="A42">
        <v>41</v>
      </c>
      <c r="B42" s="2">
        <v>46340</v>
      </c>
      <c r="C42">
        <v>6</v>
      </c>
      <c r="D42" t="inlineStr">
        <is>
          <t xml:space="preserve">A1</t>
        </is>
      </c>
      <c r="E42" s="3" t="inlineStr">
        <is>
          <t xml:space="preserve">Present Continuous &amp; current actions</t>
        </is>
      </c>
      <c r="F42" t="inlineStr">
        <is>
          <t xml:space="preserve">Writing + correction</t>
        </is>
      </c>
      <c r="G42" t="inlineStr">
        <is>
          <t xml:space="preserve">A1-012</t>
        </is>
      </c>
      <c r="H42" s="3" t="inlineStr">
        <is>
          <t xml:space="preserve">Present Continuous</t>
        </is>
      </c>
      <c r="I42" s="3" t="inlineStr">
        <is>
          <t xml:space="preserve">GA12 Present Continuous</t>
        </is>
      </c>
      <c r="J42" s="3" t="inlineStr">
        <is>
          <t xml:space="preserve">—</t>
        </is>
      </c>
      <c r="K42">
        <v>0</v>
      </c>
      <c r="L42" s="3" t="inlineStr">
        <is>
          <t xml:space="preserve">activity audio</t>
        </is>
      </c>
      <c r="M42" s="3" t="inlineStr">
        <is>
          <t xml:space="preserve">describe what is happening now</t>
        </is>
      </c>
      <c r="N42" s="3" t="inlineStr">
        <is>
          <t xml:space="preserve">short story</t>
        </is>
      </c>
      <c r="O42" s="3" t="inlineStr">
        <is>
          <t xml:space="preserve">current activity</t>
        </is>
      </c>
      <c r="P42" t="inlineStr">
        <is>
          <t xml:space="preserve">—</t>
        </is>
      </c>
      <c r="Q42">
        <v>60</v>
      </c>
      <c r="R42" s="3" t="inlineStr">
        <is>
          <t xml:space="preserve">—</t>
        </is>
      </c>
      <c r="S42">
        <f>IF(PROGRESS!$E42="Yes","Xong","Chưa làm")</f>
      </c>
      <c r="T42" s="3" t="inlineStr">
        <is>
          <t xml:space="preserve">CHỜ NẠP TỪ: thiếu 10</t>
        </is>
      </c>
    </row>
    <row r="43">
      <c r="A43">
        <v>42</v>
      </c>
      <c r="B43" s="2">
        <v>46341</v>
      </c>
      <c r="C43">
        <v>6</v>
      </c>
      <c r="D43" t="inlineStr">
        <is>
          <t xml:space="preserve">A1</t>
        </is>
      </c>
      <c r="E43" s="3" t="inlineStr">
        <is>
          <t xml:space="preserve">Present Continuous &amp; current actions</t>
        </is>
      </c>
      <c r="F43" t="inlineStr">
        <is>
          <t xml:space="preserve">Weekly review</t>
        </is>
      </c>
      <c r="G43" t="inlineStr">
        <is>
          <t xml:space="preserve">—</t>
        </is>
      </c>
      <c r="H43" s="3" t="inlineStr">
        <is>
          <t xml:space="preserve">Ôn tổng hợp tuần 6</t>
        </is>
      </c>
      <c r="I43" s="3" t="inlineStr">
        <is>
          <t xml:space="preserve">—</t>
        </is>
      </c>
      <c r="J43" s="3" t="inlineStr">
        <is>
          <t xml:space="preserve">—</t>
        </is>
      </c>
      <c r="K43">
        <v>0</v>
      </c>
      <c r="L43" s="3" t="inlineStr">
        <is>
          <t xml:space="preserve">Ôn theo sheet DUE</t>
        </is>
      </c>
      <c r="M43" s="3" t="inlineStr">
        <is>
          <t xml:space="preserve">Nói lại 5 câu của tuần</t>
        </is>
      </c>
      <c r="N43" s="3" t="inlineStr">
        <is>
          <t xml:space="preserve">Đọc lại văn bản tuần</t>
        </is>
      </c>
      <c r="O43" s="3" t="inlineStr">
        <is>
          <t xml:space="preserve">Viết lại đoạn đã sửa</t>
        </is>
      </c>
      <c r="P43" t="inlineStr">
        <is>
          <t xml:space="preserve">—</t>
        </is>
      </c>
      <c r="Q43">
        <v>60</v>
      </c>
      <c r="R43" s="3" t="inlineStr">
        <is>
          <t xml:space="preserve">Test tuần 6</t>
        </is>
      </c>
      <c r="S43">
        <f>IF(PROGRESS!$E43="Yes","Xong","Chưa làm")</f>
      </c>
      <c r="T43" s="3" t="inlineStr">
        <is>
          <t xml:space="preserve">ngày ôn, không thêm từ</t>
        </is>
      </c>
    </row>
    <row r="44">
      <c r="A44">
        <v>43</v>
      </c>
      <c r="B44" s="2">
        <v>46342</v>
      </c>
      <c r="C44">
        <v>7</v>
      </c>
      <c r="D44" t="inlineStr">
        <is>
          <t xml:space="preserve">A1</t>
        </is>
      </c>
      <c r="E44" s="3" t="inlineStr">
        <is>
          <t xml:space="preserve">Past Simple &amp; experiences</t>
        </is>
      </c>
      <c r="F44" t="inlineStr">
        <is>
          <t xml:space="preserve">New concept</t>
        </is>
      </c>
      <c r="G44" t="inlineStr">
        <is>
          <t xml:space="preserve">A1-013</t>
        </is>
      </c>
      <c r="H44" s="3" t="inlineStr">
        <is>
          <t xml:space="preserve">Past Simple</t>
        </is>
      </c>
      <c r="I44" s="3" t="inlineStr">
        <is>
          <t xml:space="preserve">GA13 Past Simple</t>
        </is>
      </c>
      <c r="J44" s="3" t="inlineStr">
        <is>
          <t xml:space="preserve">—</t>
        </is>
      </c>
      <c r="K44">
        <v>0</v>
      </c>
      <c r="L44" s="3" t="inlineStr">
        <is>
          <t xml:space="preserve">past dialogue</t>
        </is>
      </c>
      <c r="M44" s="3" t="inlineStr">
        <is>
          <t xml:space="preserve">tell a past event</t>
        </is>
      </c>
      <c r="N44" s="3" t="inlineStr">
        <is>
          <t xml:space="preserve">short story</t>
        </is>
      </c>
      <c r="O44" s="3" t="inlineStr">
        <is>
          <t xml:space="preserve">write about your weekend</t>
        </is>
      </c>
      <c r="P44" t="inlineStr">
        <is>
          <t xml:space="preserve">—</t>
        </is>
      </c>
      <c r="Q44">
        <v>60</v>
      </c>
      <c r="R44" s="3" t="inlineStr">
        <is>
          <t xml:space="preserve">—</t>
        </is>
      </c>
      <c r="S44">
        <f>IF(PROGRESS!$E44="Yes","Xong","Chưa làm")</f>
      </c>
      <c r="T44" s="3" t="inlineStr">
        <is>
          <t xml:space="preserve">CHỜ NẠP TỪ: thiếu 10</t>
        </is>
      </c>
    </row>
    <row r="45">
      <c r="A45">
        <v>44</v>
      </c>
      <c r="B45" s="2">
        <v>46343</v>
      </c>
      <c r="C45">
        <v>7</v>
      </c>
      <c r="D45" t="inlineStr">
        <is>
          <t xml:space="preserve">A1</t>
        </is>
      </c>
      <c r="E45" s="3" t="inlineStr">
        <is>
          <t xml:space="preserve">Past Simple &amp; experiences</t>
        </is>
      </c>
      <c r="F45" t="inlineStr">
        <is>
          <t xml:space="preserve">Guided practice</t>
        </is>
      </c>
      <c r="G45" t="inlineStr">
        <is>
          <t xml:space="preserve">A1-013</t>
        </is>
      </c>
      <c r="H45" s="3" t="inlineStr">
        <is>
          <t xml:space="preserve">Past Simple</t>
        </is>
      </c>
      <c r="I45" s="3" t="inlineStr">
        <is>
          <t xml:space="preserve">GA13 Past Simple</t>
        </is>
      </c>
      <c r="J45" s="3" t="inlineStr">
        <is>
          <t xml:space="preserve">—</t>
        </is>
      </c>
      <c r="K45">
        <v>0</v>
      </c>
      <c r="L45" s="3" t="inlineStr">
        <is>
          <t xml:space="preserve">past dialogue</t>
        </is>
      </c>
      <c r="M45" s="3" t="inlineStr">
        <is>
          <t xml:space="preserve">tell a past event</t>
        </is>
      </c>
      <c r="N45" s="3" t="inlineStr">
        <is>
          <t xml:space="preserve">short story</t>
        </is>
      </c>
      <c r="O45" s="3" t="inlineStr">
        <is>
          <t xml:space="preserve">write about your weekend</t>
        </is>
      </c>
      <c r="P45" t="inlineStr">
        <is>
          <t xml:space="preserve">—</t>
        </is>
      </c>
      <c r="Q45">
        <v>60</v>
      </c>
      <c r="R45" s="3" t="inlineStr">
        <is>
          <t xml:space="preserve">—</t>
        </is>
      </c>
      <c r="S45">
        <f>IF(PROGRESS!$E45="Yes","Xong","Chưa làm")</f>
      </c>
      <c r="T45" s="3" t="inlineStr">
        <is>
          <t xml:space="preserve">CHỜ NẠP TỪ: thiếu 10</t>
        </is>
      </c>
    </row>
    <row r="46">
      <c r="A46">
        <v>45</v>
      </c>
      <c r="B46" s="2">
        <v>46344</v>
      </c>
      <c r="C46">
        <v>7</v>
      </c>
      <c r="D46" t="inlineStr">
        <is>
          <t xml:space="preserve">A1</t>
        </is>
      </c>
      <c r="E46" s="3" t="inlineStr">
        <is>
          <t xml:space="preserve">Past Simple &amp; experiences</t>
        </is>
      </c>
      <c r="F46" t="inlineStr">
        <is>
          <t xml:space="preserve">Listening + shadowing</t>
        </is>
      </c>
      <c r="G46" t="inlineStr">
        <is>
          <t xml:space="preserve">A1-013</t>
        </is>
      </c>
      <c r="H46" s="3" t="inlineStr">
        <is>
          <t xml:space="preserve">Past Simple</t>
        </is>
      </c>
      <c r="I46" s="3" t="inlineStr">
        <is>
          <t xml:space="preserve">GA13 Past Simple</t>
        </is>
      </c>
      <c r="J46" s="3" t="inlineStr">
        <is>
          <t xml:space="preserve">—</t>
        </is>
      </c>
      <c r="K46">
        <v>0</v>
      </c>
      <c r="L46" s="3" t="inlineStr">
        <is>
          <t xml:space="preserve">past dialogue</t>
        </is>
      </c>
      <c r="M46" s="3" t="inlineStr">
        <is>
          <t xml:space="preserve">tell a past event</t>
        </is>
      </c>
      <c r="N46" s="3" t="inlineStr">
        <is>
          <t xml:space="preserve">short story</t>
        </is>
      </c>
      <c r="O46" s="3" t="inlineStr">
        <is>
          <t xml:space="preserve">write about your weekend</t>
        </is>
      </c>
      <c r="P46" t="inlineStr">
        <is>
          <t xml:space="preserve">—</t>
        </is>
      </c>
      <c r="Q46">
        <v>60</v>
      </c>
      <c r="R46" s="3" t="inlineStr">
        <is>
          <t xml:space="preserve">—</t>
        </is>
      </c>
      <c r="S46">
        <f>IF(PROGRESS!$E46="Yes","Xong","Chưa làm")</f>
      </c>
      <c r="T46" s="3" t="inlineStr">
        <is>
          <t xml:space="preserve">CHỜ NẠP TỪ: thiếu 10</t>
        </is>
      </c>
    </row>
    <row r="47">
      <c r="A47">
        <v>46</v>
      </c>
      <c r="B47" s="2">
        <v>46345</v>
      </c>
      <c r="C47">
        <v>7</v>
      </c>
      <c r="D47" t="inlineStr">
        <is>
          <t xml:space="preserve">A1</t>
        </is>
      </c>
      <c r="E47" s="3" t="inlineStr">
        <is>
          <t xml:space="preserve">Past Simple &amp; experiences</t>
        </is>
      </c>
      <c r="F47" t="inlineStr">
        <is>
          <t xml:space="preserve">Speaking drill</t>
        </is>
      </c>
      <c r="G47" t="inlineStr">
        <is>
          <t xml:space="preserve">A1-013</t>
        </is>
      </c>
      <c r="H47" s="3" t="inlineStr">
        <is>
          <t xml:space="preserve">Past Simple</t>
        </is>
      </c>
      <c r="I47" s="3" t="inlineStr">
        <is>
          <t xml:space="preserve">GA13 Past Simple</t>
        </is>
      </c>
      <c r="J47" s="3" t="inlineStr">
        <is>
          <t xml:space="preserve">—</t>
        </is>
      </c>
      <c r="K47">
        <v>0</v>
      </c>
      <c r="L47" s="3" t="inlineStr">
        <is>
          <t xml:space="preserve">past dialogue</t>
        </is>
      </c>
      <c r="M47" s="3" t="inlineStr">
        <is>
          <t xml:space="preserve">tell a past event</t>
        </is>
      </c>
      <c r="N47" s="3" t="inlineStr">
        <is>
          <t xml:space="preserve">short story</t>
        </is>
      </c>
      <c r="O47" s="3" t="inlineStr">
        <is>
          <t xml:space="preserve">write about your weekend</t>
        </is>
      </c>
      <c r="P47" t="inlineStr">
        <is>
          <t xml:space="preserve">—</t>
        </is>
      </c>
      <c r="Q47">
        <v>60</v>
      </c>
      <c r="R47" s="3" t="inlineStr">
        <is>
          <t xml:space="preserve">—</t>
        </is>
      </c>
      <c r="S47">
        <f>IF(PROGRESS!$E47="Yes","Xong","Chưa làm")</f>
      </c>
      <c r="T47" s="3" t="inlineStr">
        <is>
          <t xml:space="preserve">CHỜ NẠP TỪ: thiếu 10</t>
        </is>
      </c>
    </row>
    <row r="48">
      <c r="A48">
        <v>47</v>
      </c>
      <c r="B48" s="2">
        <v>46346</v>
      </c>
      <c r="C48">
        <v>7</v>
      </c>
      <c r="D48" t="inlineStr">
        <is>
          <t xml:space="preserve">A1</t>
        </is>
      </c>
      <c r="E48" s="3" t="inlineStr">
        <is>
          <t xml:space="preserve">Past Simple &amp; experiences</t>
        </is>
      </c>
      <c r="F48" t="inlineStr">
        <is>
          <t xml:space="preserve">Reading + vocabulary</t>
        </is>
      </c>
      <c r="G48" t="inlineStr">
        <is>
          <t xml:space="preserve">A1-013</t>
        </is>
      </c>
      <c r="H48" s="3" t="inlineStr">
        <is>
          <t xml:space="preserve">Past Simple</t>
        </is>
      </c>
      <c r="I48" s="3" t="inlineStr">
        <is>
          <t xml:space="preserve">GA13 Past Simple</t>
        </is>
      </c>
      <c r="J48" s="3" t="inlineStr">
        <is>
          <t xml:space="preserve">—</t>
        </is>
      </c>
      <c r="K48">
        <v>0</v>
      </c>
      <c r="L48" s="3" t="inlineStr">
        <is>
          <t xml:space="preserve">past dialogue</t>
        </is>
      </c>
      <c r="M48" s="3" t="inlineStr">
        <is>
          <t xml:space="preserve">tell a past event</t>
        </is>
      </c>
      <c r="N48" s="3" t="inlineStr">
        <is>
          <t xml:space="preserve">short story</t>
        </is>
      </c>
      <c r="O48" s="3" t="inlineStr">
        <is>
          <t xml:space="preserve">write about your weekend</t>
        </is>
      </c>
      <c r="P48" t="inlineStr">
        <is>
          <t xml:space="preserve">—</t>
        </is>
      </c>
      <c r="Q48">
        <v>60</v>
      </c>
      <c r="R48" s="3" t="inlineStr">
        <is>
          <t xml:space="preserve">—</t>
        </is>
      </c>
      <c r="S48">
        <f>IF(PROGRESS!$E48="Yes","Xong","Chưa làm")</f>
      </c>
      <c r="T48" s="3" t="inlineStr">
        <is>
          <t xml:space="preserve">CHỜ NẠP TỪ: thiếu 10</t>
        </is>
      </c>
    </row>
    <row r="49">
      <c r="A49">
        <v>48</v>
      </c>
      <c r="B49" s="2">
        <v>46347</v>
      </c>
      <c r="C49">
        <v>7</v>
      </c>
      <c r="D49" t="inlineStr">
        <is>
          <t xml:space="preserve">A1</t>
        </is>
      </c>
      <c r="E49" s="3" t="inlineStr">
        <is>
          <t xml:space="preserve">Past Simple &amp; experiences</t>
        </is>
      </c>
      <c r="F49" t="inlineStr">
        <is>
          <t xml:space="preserve">Writing + correction</t>
        </is>
      </c>
      <c r="G49" t="inlineStr">
        <is>
          <t xml:space="preserve">A1-013</t>
        </is>
      </c>
      <c r="H49" s="3" t="inlineStr">
        <is>
          <t xml:space="preserve">Past Simple</t>
        </is>
      </c>
      <c r="I49" s="3" t="inlineStr">
        <is>
          <t xml:space="preserve">GA13 Past Simple</t>
        </is>
      </c>
      <c r="J49" s="3" t="inlineStr">
        <is>
          <t xml:space="preserve">—</t>
        </is>
      </c>
      <c r="K49">
        <v>0</v>
      </c>
      <c r="L49" s="3" t="inlineStr">
        <is>
          <t xml:space="preserve">past dialogue</t>
        </is>
      </c>
      <c r="M49" s="3" t="inlineStr">
        <is>
          <t xml:space="preserve">tell a past event</t>
        </is>
      </c>
      <c r="N49" s="3" t="inlineStr">
        <is>
          <t xml:space="preserve">short story</t>
        </is>
      </c>
      <c r="O49" s="3" t="inlineStr">
        <is>
          <t xml:space="preserve">write about your weekend</t>
        </is>
      </c>
      <c r="P49" t="inlineStr">
        <is>
          <t xml:space="preserve">—</t>
        </is>
      </c>
      <c r="Q49">
        <v>60</v>
      </c>
      <c r="R49" s="3" t="inlineStr">
        <is>
          <t xml:space="preserve">—</t>
        </is>
      </c>
      <c r="S49">
        <f>IF(PROGRESS!$E49="Yes","Xong","Chưa làm")</f>
      </c>
      <c r="T49" s="3" t="inlineStr">
        <is>
          <t xml:space="preserve">CHỜ NẠP TỪ: thiếu 10</t>
        </is>
      </c>
    </row>
    <row r="50">
      <c r="A50">
        <v>49</v>
      </c>
      <c r="B50" s="2">
        <v>46348</v>
      </c>
      <c r="C50">
        <v>7</v>
      </c>
      <c r="D50" t="inlineStr">
        <is>
          <t xml:space="preserve">A1</t>
        </is>
      </c>
      <c r="E50" s="3" t="inlineStr">
        <is>
          <t xml:space="preserve">Past Simple &amp; experiences</t>
        </is>
      </c>
      <c r="F50" t="inlineStr">
        <is>
          <t xml:space="preserve">Weekly review</t>
        </is>
      </c>
      <c r="G50" t="inlineStr">
        <is>
          <t xml:space="preserve">—</t>
        </is>
      </c>
      <c r="H50" s="3" t="inlineStr">
        <is>
          <t xml:space="preserve">Ôn tổng hợp tuần 7</t>
        </is>
      </c>
      <c r="I50" s="3" t="inlineStr">
        <is>
          <t xml:space="preserve">—</t>
        </is>
      </c>
      <c r="J50" s="3" t="inlineStr">
        <is>
          <t xml:space="preserve">—</t>
        </is>
      </c>
      <c r="K50">
        <v>0</v>
      </c>
      <c r="L50" s="3" t="inlineStr">
        <is>
          <t xml:space="preserve">Ôn theo sheet DUE</t>
        </is>
      </c>
      <c r="M50" s="3" t="inlineStr">
        <is>
          <t xml:space="preserve">Nói lại 5 câu của tuần</t>
        </is>
      </c>
      <c r="N50" s="3" t="inlineStr">
        <is>
          <t xml:space="preserve">Đọc lại văn bản tuần</t>
        </is>
      </c>
      <c r="O50" s="3" t="inlineStr">
        <is>
          <t xml:space="preserve">Viết lại đoạn đã sửa</t>
        </is>
      </c>
      <c r="P50" t="inlineStr">
        <is>
          <t xml:space="preserve">—</t>
        </is>
      </c>
      <c r="Q50">
        <v>60</v>
      </c>
      <c r="R50" s="3" t="inlineStr">
        <is>
          <t xml:space="preserve">Test tuần 7</t>
        </is>
      </c>
      <c r="S50">
        <f>IF(PROGRESS!$E50="Yes","Xong","Chưa làm")</f>
      </c>
      <c r="T50" s="3" t="inlineStr">
        <is>
          <t xml:space="preserve">ngày ôn, không thêm từ</t>
        </is>
      </c>
    </row>
    <row r="51">
      <c r="A51">
        <v>50</v>
      </c>
      <c r="B51" s="2">
        <v>46349</v>
      </c>
      <c r="C51">
        <v>8</v>
      </c>
      <c r="D51" t="inlineStr">
        <is>
          <t xml:space="preserve">A1</t>
        </is>
      </c>
      <c r="E51" s="3" t="inlineStr">
        <is>
          <t xml:space="preserve">Future &amp; plans</t>
        </is>
      </c>
      <c r="F51" t="inlineStr">
        <is>
          <t xml:space="preserve">New concept</t>
        </is>
      </c>
      <c r="G51" t="inlineStr">
        <is>
          <t xml:space="preserve">A1-014</t>
        </is>
      </c>
      <c r="H51" s="3" t="inlineStr">
        <is>
          <t xml:space="preserve">Future with going to</t>
        </is>
      </c>
      <c r="I51" s="3" t="inlineStr">
        <is>
          <t xml:space="preserve">GA14 Future with going to</t>
        </is>
      </c>
      <c r="J51" s="3" t="inlineStr">
        <is>
          <t xml:space="preserve">—</t>
        </is>
      </c>
      <c r="K51">
        <v>0</v>
      </c>
      <c r="L51" s="3" t="inlineStr">
        <is>
          <t xml:space="preserve">plans audio</t>
        </is>
      </c>
      <c r="M51" s="3" t="inlineStr">
        <is>
          <t xml:space="preserve">talk about plans</t>
        </is>
      </c>
      <c r="N51" s="3" t="inlineStr">
        <is>
          <t xml:space="preserve">future text</t>
        </is>
      </c>
      <c r="O51" s="3" t="inlineStr">
        <is>
          <t xml:space="preserve">plan paragraph</t>
        </is>
      </c>
      <c r="P51" t="inlineStr">
        <is>
          <t xml:space="preserve">—</t>
        </is>
      </c>
      <c r="Q51">
        <v>60</v>
      </c>
      <c r="R51" s="3" t="inlineStr">
        <is>
          <t xml:space="preserve">—</t>
        </is>
      </c>
      <c r="S51">
        <f>IF(PROGRESS!$E51="Yes","Xong","Chưa làm")</f>
      </c>
      <c r="T51" s="3" t="inlineStr">
        <is>
          <t xml:space="preserve">CHỜ NẠP TỪ: thiếu 10</t>
        </is>
      </c>
    </row>
    <row r="52">
      <c r="A52">
        <v>51</v>
      </c>
      <c r="B52" s="2">
        <v>46350</v>
      </c>
      <c r="C52">
        <v>8</v>
      </c>
      <c r="D52" t="inlineStr">
        <is>
          <t xml:space="preserve">A1</t>
        </is>
      </c>
      <c r="E52" s="3" t="inlineStr">
        <is>
          <t xml:space="preserve">Future &amp; plans</t>
        </is>
      </c>
      <c r="F52" t="inlineStr">
        <is>
          <t xml:space="preserve">Guided practice</t>
        </is>
      </c>
      <c r="G52" t="inlineStr">
        <is>
          <t xml:space="preserve">A1-014</t>
        </is>
      </c>
      <c r="H52" s="3" t="inlineStr">
        <is>
          <t xml:space="preserve">Future with going to</t>
        </is>
      </c>
      <c r="I52" s="3" t="inlineStr">
        <is>
          <t xml:space="preserve">GA14 Future with going to</t>
        </is>
      </c>
      <c r="J52" s="3" t="inlineStr">
        <is>
          <t xml:space="preserve">—</t>
        </is>
      </c>
      <c r="K52">
        <v>0</v>
      </c>
      <c r="L52" s="3" t="inlineStr">
        <is>
          <t xml:space="preserve">plans audio</t>
        </is>
      </c>
      <c r="M52" s="3" t="inlineStr">
        <is>
          <t xml:space="preserve">talk about plans</t>
        </is>
      </c>
      <c r="N52" s="3" t="inlineStr">
        <is>
          <t xml:space="preserve">future text</t>
        </is>
      </c>
      <c r="O52" s="3" t="inlineStr">
        <is>
          <t xml:space="preserve">plan paragraph</t>
        </is>
      </c>
      <c r="P52" t="inlineStr">
        <is>
          <t xml:space="preserve">—</t>
        </is>
      </c>
      <c r="Q52">
        <v>60</v>
      </c>
      <c r="R52" s="3" t="inlineStr">
        <is>
          <t xml:space="preserve">—</t>
        </is>
      </c>
      <c r="S52">
        <f>IF(PROGRESS!$E52="Yes","Xong","Chưa làm")</f>
      </c>
      <c r="T52" s="3" t="inlineStr">
        <is>
          <t xml:space="preserve">CHỜ NẠP TỪ: thiếu 10</t>
        </is>
      </c>
    </row>
    <row r="53">
      <c r="A53">
        <v>52</v>
      </c>
      <c r="B53" s="2">
        <v>46351</v>
      </c>
      <c r="C53">
        <v>8</v>
      </c>
      <c r="D53" t="inlineStr">
        <is>
          <t xml:space="preserve">A1</t>
        </is>
      </c>
      <c r="E53" s="3" t="inlineStr">
        <is>
          <t xml:space="preserve">Future &amp; plans</t>
        </is>
      </c>
      <c r="F53" t="inlineStr">
        <is>
          <t xml:space="preserve">Listening + shadowing</t>
        </is>
      </c>
      <c r="G53" t="inlineStr">
        <is>
          <t xml:space="preserve">A1-014</t>
        </is>
      </c>
      <c r="H53" s="3" t="inlineStr">
        <is>
          <t xml:space="preserve">Future with going to</t>
        </is>
      </c>
      <c r="I53" s="3" t="inlineStr">
        <is>
          <t xml:space="preserve">GA14 Future with going to</t>
        </is>
      </c>
      <c r="J53" s="3" t="inlineStr">
        <is>
          <t xml:space="preserve">—</t>
        </is>
      </c>
      <c r="K53">
        <v>0</v>
      </c>
      <c r="L53" s="3" t="inlineStr">
        <is>
          <t xml:space="preserve">plans audio</t>
        </is>
      </c>
      <c r="M53" s="3" t="inlineStr">
        <is>
          <t xml:space="preserve">talk about plans</t>
        </is>
      </c>
      <c r="N53" s="3" t="inlineStr">
        <is>
          <t xml:space="preserve">future text</t>
        </is>
      </c>
      <c r="O53" s="3" t="inlineStr">
        <is>
          <t xml:space="preserve">plan paragraph</t>
        </is>
      </c>
      <c r="P53" t="inlineStr">
        <is>
          <t xml:space="preserve">—</t>
        </is>
      </c>
      <c r="Q53">
        <v>60</v>
      </c>
      <c r="R53" s="3" t="inlineStr">
        <is>
          <t xml:space="preserve">—</t>
        </is>
      </c>
      <c r="S53">
        <f>IF(PROGRESS!$E53="Yes","Xong","Chưa làm")</f>
      </c>
      <c r="T53" s="3" t="inlineStr">
        <is>
          <t xml:space="preserve">CHỜ NẠP TỪ: thiếu 10</t>
        </is>
      </c>
    </row>
    <row r="54">
      <c r="A54">
        <v>53</v>
      </c>
      <c r="B54" s="2">
        <v>46352</v>
      </c>
      <c r="C54">
        <v>8</v>
      </c>
      <c r="D54" t="inlineStr">
        <is>
          <t xml:space="preserve">A1</t>
        </is>
      </c>
      <c r="E54" s="3" t="inlineStr">
        <is>
          <t xml:space="preserve">Future &amp; plans</t>
        </is>
      </c>
      <c r="F54" t="inlineStr">
        <is>
          <t xml:space="preserve">Speaking drill</t>
        </is>
      </c>
      <c r="G54" t="inlineStr">
        <is>
          <t xml:space="preserve">A1-014</t>
        </is>
      </c>
      <c r="H54" s="3" t="inlineStr">
        <is>
          <t xml:space="preserve">Future with going to</t>
        </is>
      </c>
      <c r="I54" s="3" t="inlineStr">
        <is>
          <t xml:space="preserve">GA14 Future with going to</t>
        </is>
      </c>
      <c r="J54" s="3" t="inlineStr">
        <is>
          <t xml:space="preserve">—</t>
        </is>
      </c>
      <c r="K54">
        <v>0</v>
      </c>
      <c r="L54" s="3" t="inlineStr">
        <is>
          <t xml:space="preserve">plans audio</t>
        </is>
      </c>
      <c r="M54" s="3" t="inlineStr">
        <is>
          <t xml:space="preserve">talk about plans</t>
        </is>
      </c>
      <c r="N54" s="3" t="inlineStr">
        <is>
          <t xml:space="preserve">future text</t>
        </is>
      </c>
      <c r="O54" s="3" t="inlineStr">
        <is>
          <t xml:space="preserve">plan paragraph</t>
        </is>
      </c>
      <c r="P54" t="inlineStr">
        <is>
          <t xml:space="preserve">—</t>
        </is>
      </c>
      <c r="Q54">
        <v>60</v>
      </c>
      <c r="R54" s="3" t="inlineStr">
        <is>
          <t xml:space="preserve">—</t>
        </is>
      </c>
      <c r="S54">
        <f>IF(PROGRESS!$E54="Yes","Xong","Chưa làm")</f>
      </c>
      <c r="T54" s="3" t="inlineStr">
        <is>
          <t xml:space="preserve">CHỜ NẠP TỪ: thiếu 10</t>
        </is>
      </c>
    </row>
    <row r="55">
      <c r="A55">
        <v>54</v>
      </c>
      <c r="B55" s="2">
        <v>46353</v>
      </c>
      <c r="C55">
        <v>8</v>
      </c>
      <c r="D55" t="inlineStr">
        <is>
          <t xml:space="preserve">A1</t>
        </is>
      </c>
      <c r="E55" s="3" t="inlineStr">
        <is>
          <t xml:space="preserve">Future &amp; plans</t>
        </is>
      </c>
      <c r="F55" t="inlineStr">
        <is>
          <t xml:space="preserve">Reading + vocabulary</t>
        </is>
      </c>
      <c r="G55" t="inlineStr">
        <is>
          <t xml:space="preserve">A1-014</t>
        </is>
      </c>
      <c r="H55" s="3" t="inlineStr">
        <is>
          <t xml:space="preserve">Future with going to</t>
        </is>
      </c>
      <c r="I55" s="3" t="inlineStr">
        <is>
          <t xml:space="preserve">GA14 Future with going to</t>
        </is>
      </c>
      <c r="J55" s="3" t="inlineStr">
        <is>
          <t xml:space="preserve">—</t>
        </is>
      </c>
      <c r="K55">
        <v>0</v>
      </c>
      <c r="L55" s="3" t="inlineStr">
        <is>
          <t xml:space="preserve">plans audio</t>
        </is>
      </c>
      <c r="M55" s="3" t="inlineStr">
        <is>
          <t xml:space="preserve">talk about plans</t>
        </is>
      </c>
      <c r="N55" s="3" t="inlineStr">
        <is>
          <t xml:space="preserve">future text</t>
        </is>
      </c>
      <c r="O55" s="3" t="inlineStr">
        <is>
          <t xml:space="preserve">plan paragraph</t>
        </is>
      </c>
      <c r="P55" t="inlineStr">
        <is>
          <t xml:space="preserve">—</t>
        </is>
      </c>
      <c r="Q55">
        <v>60</v>
      </c>
      <c r="R55" s="3" t="inlineStr">
        <is>
          <t xml:space="preserve">—</t>
        </is>
      </c>
      <c r="S55">
        <f>IF(PROGRESS!$E55="Yes","Xong","Chưa làm")</f>
      </c>
      <c r="T55" s="3" t="inlineStr">
        <is>
          <t xml:space="preserve">CHỜ NẠP TỪ: thiếu 10</t>
        </is>
      </c>
    </row>
    <row r="56">
      <c r="A56">
        <v>55</v>
      </c>
      <c r="B56" s="2">
        <v>46354</v>
      </c>
      <c r="C56">
        <v>8</v>
      </c>
      <c r="D56" t="inlineStr">
        <is>
          <t xml:space="preserve">A1</t>
        </is>
      </c>
      <c r="E56" s="3" t="inlineStr">
        <is>
          <t xml:space="preserve">Future &amp; plans</t>
        </is>
      </c>
      <c r="F56" t="inlineStr">
        <is>
          <t xml:space="preserve">Writing + correction</t>
        </is>
      </c>
      <c r="G56" t="inlineStr">
        <is>
          <t xml:space="preserve">A1-014</t>
        </is>
      </c>
      <c r="H56" s="3" t="inlineStr">
        <is>
          <t xml:space="preserve">Future with going to</t>
        </is>
      </c>
      <c r="I56" s="3" t="inlineStr">
        <is>
          <t xml:space="preserve">GA14 Future with going to</t>
        </is>
      </c>
      <c r="J56" s="3" t="inlineStr">
        <is>
          <t xml:space="preserve">—</t>
        </is>
      </c>
      <c r="K56">
        <v>0</v>
      </c>
      <c r="L56" s="3" t="inlineStr">
        <is>
          <t xml:space="preserve">plans audio</t>
        </is>
      </c>
      <c r="M56" s="3" t="inlineStr">
        <is>
          <t xml:space="preserve">talk about plans</t>
        </is>
      </c>
      <c r="N56" s="3" t="inlineStr">
        <is>
          <t xml:space="preserve">future text</t>
        </is>
      </c>
      <c r="O56" s="3" t="inlineStr">
        <is>
          <t xml:space="preserve">plan paragraph</t>
        </is>
      </c>
      <c r="P56" t="inlineStr">
        <is>
          <t xml:space="preserve">—</t>
        </is>
      </c>
      <c r="Q56">
        <v>60</v>
      </c>
      <c r="R56" s="3" t="inlineStr">
        <is>
          <t xml:space="preserve">—</t>
        </is>
      </c>
      <c r="S56">
        <f>IF(PROGRESS!$E56="Yes","Xong","Chưa làm")</f>
      </c>
      <c r="T56" s="3" t="inlineStr">
        <is>
          <t xml:space="preserve">CHỜ NẠP TỪ: thiếu 10</t>
        </is>
      </c>
    </row>
    <row r="57">
      <c r="A57">
        <v>56</v>
      </c>
      <c r="B57" s="2">
        <v>46355</v>
      </c>
      <c r="C57">
        <v>8</v>
      </c>
      <c r="D57" t="inlineStr">
        <is>
          <t xml:space="preserve">A1</t>
        </is>
      </c>
      <c r="E57" s="3" t="inlineStr">
        <is>
          <t xml:space="preserve">Future &amp; plans</t>
        </is>
      </c>
      <c r="F57" t="inlineStr">
        <is>
          <t xml:space="preserve">Weekly review</t>
        </is>
      </c>
      <c r="G57" t="inlineStr">
        <is>
          <t xml:space="preserve">—</t>
        </is>
      </c>
      <c r="H57" s="3" t="inlineStr">
        <is>
          <t xml:space="preserve">Ôn tổng hợp tuần 8</t>
        </is>
      </c>
      <c r="I57" s="3" t="inlineStr">
        <is>
          <t xml:space="preserve">—</t>
        </is>
      </c>
      <c r="J57" s="3" t="inlineStr">
        <is>
          <t xml:space="preserve">—</t>
        </is>
      </c>
      <c r="K57">
        <v>0</v>
      </c>
      <c r="L57" s="3" t="inlineStr">
        <is>
          <t xml:space="preserve">Ôn theo sheet DUE</t>
        </is>
      </c>
      <c r="M57" s="3" t="inlineStr">
        <is>
          <t xml:space="preserve">Nói lại 5 câu của tuần</t>
        </is>
      </c>
      <c r="N57" s="3" t="inlineStr">
        <is>
          <t xml:space="preserve">Đọc lại văn bản tuần</t>
        </is>
      </c>
      <c r="O57" s="3" t="inlineStr">
        <is>
          <t xml:space="preserve">Viết lại đoạn đã sửa</t>
        </is>
      </c>
      <c r="P57" t="inlineStr">
        <is>
          <t xml:space="preserve">—</t>
        </is>
      </c>
      <c r="Q57">
        <v>60</v>
      </c>
      <c r="R57" s="3" t="inlineStr">
        <is>
          <t xml:space="preserve">Test tuần 8</t>
        </is>
      </c>
      <c r="S57">
        <f>IF(PROGRESS!$E57="Yes","Xong","Chưa làm")</f>
      </c>
      <c r="T57" s="3" t="inlineStr">
        <is>
          <t xml:space="preserve">ngày ôn, không thêm từ</t>
        </is>
      </c>
    </row>
    <row r="58">
      <c r="A58">
        <v>57</v>
      </c>
      <c r="B58" s="2">
        <v>46356</v>
      </c>
      <c r="C58">
        <v>9</v>
      </c>
      <c r="D58" t="inlineStr">
        <is>
          <t xml:space="preserve">A1</t>
        </is>
      </c>
      <c r="E58" s="3" t="inlineStr">
        <is>
          <t xml:space="preserve">Shopping, travel, directions</t>
        </is>
      </c>
      <c r="F58" t="inlineStr">
        <is>
          <t xml:space="preserve">New concept</t>
        </is>
      </c>
      <c r="G58" t="inlineStr">
        <is>
          <t xml:space="preserve">A1-015</t>
        </is>
      </c>
      <c r="H58" s="3" t="inlineStr">
        <is>
          <t xml:space="preserve">Can / Can't</t>
        </is>
      </c>
      <c r="I58" s="3" t="inlineStr">
        <is>
          <t xml:space="preserve">GA15 Can / Can't</t>
        </is>
      </c>
      <c r="J58" s="3" t="inlineStr">
        <is>
          <t xml:space="preserve">—</t>
        </is>
      </c>
      <c r="K58">
        <v>0</v>
      </c>
      <c r="L58" s="3" t="inlineStr">
        <is>
          <t xml:space="preserve">ability dialogue</t>
        </is>
      </c>
      <c r="M58" s="3" t="inlineStr">
        <is>
          <t xml:space="preserve">talk about abilities</t>
        </is>
      </c>
      <c r="N58" s="3" t="inlineStr">
        <is>
          <t xml:space="preserve">profile</t>
        </is>
      </c>
      <c r="O58" s="3" t="inlineStr">
        <is>
          <t xml:space="preserve">write about abilities</t>
        </is>
      </c>
      <c r="P58" t="inlineStr">
        <is>
          <t xml:space="preserve">—</t>
        </is>
      </c>
      <c r="Q58">
        <v>60</v>
      </c>
      <c r="R58" s="3" t="inlineStr">
        <is>
          <t xml:space="preserve">—</t>
        </is>
      </c>
      <c r="S58">
        <f>IF(PROGRESS!$E58="Yes","Xong","Chưa làm")</f>
      </c>
      <c r="T58" s="3" t="inlineStr">
        <is>
          <t xml:space="preserve">CHỜ NẠP TỪ: thiếu 10</t>
        </is>
      </c>
    </row>
    <row r="59">
      <c r="A59">
        <v>58</v>
      </c>
      <c r="B59" s="2">
        <v>46357</v>
      </c>
      <c r="C59">
        <v>9</v>
      </c>
      <c r="D59" t="inlineStr">
        <is>
          <t xml:space="preserve">A1</t>
        </is>
      </c>
      <c r="E59" s="3" t="inlineStr">
        <is>
          <t xml:space="preserve">Shopping, travel, directions</t>
        </is>
      </c>
      <c r="F59" t="inlineStr">
        <is>
          <t xml:space="preserve">Guided practice</t>
        </is>
      </c>
      <c r="G59" t="inlineStr">
        <is>
          <t xml:space="preserve">A1-015</t>
        </is>
      </c>
      <c r="H59" s="3" t="inlineStr">
        <is>
          <t xml:space="preserve">Can / Can't</t>
        </is>
      </c>
      <c r="I59" s="3" t="inlineStr">
        <is>
          <t xml:space="preserve">GA15 Can / Can't</t>
        </is>
      </c>
      <c r="J59" s="3" t="inlineStr">
        <is>
          <t xml:space="preserve">—</t>
        </is>
      </c>
      <c r="K59">
        <v>0</v>
      </c>
      <c r="L59" s="3" t="inlineStr">
        <is>
          <t xml:space="preserve">ability dialogue</t>
        </is>
      </c>
      <c r="M59" s="3" t="inlineStr">
        <is>
          <t xml:space="preserve">talk about abilities</t>
        </is>
      </c>
      <c r="N59" s="3" t="inlineStr">
        <is>
          <t xml:space="preserve">profile</t>
        </is>
      </c>
      <c r="O59" s="3" t="inlineStr">
        <is>
          <t xml:space="preserve">write about abilities</t>
        </is>
      </c>
      <c r="P59" t="inlineStr">
        <is>
          <t xml:space="preserve">—</t>
        </is>
      </c>
      <c r="Q59">
        <v>60</v>
      </c>
      <c r="R59" s="3" t="inlineStr">
        <is>
          <t xml:space="preserve">—</t>
        </is>
      </c>
      <c r="S59">
        <f>IF(PROGRESS!$E59="Yes","Xong","Chưa làm")</f>
      </c>
      <c r="T59" s="3" t="inlineStr">
        <is>
          <t xml:space="preserve">CHỜ NẠP TỪ: thiếu 10</t>
        </is>
      </c>
    </row>
    <row r="60">
      <c r="A60">
        <v>59</v>
      </c>
      <c r="B60" s="2">
        <v>46358</v>
      </c>
      <c r="C60">
        <v>9</v>
      </c>
      <c r="D60" t="inlineStr">
        <is>
          <t xml:space="preserve">A1</t>
        </is>
      </c>
      <c r="E60" s="3" t="inlineStr">
        <is>
          <t xml:space="preserve">Shopping, travel, directions</t>
        </is>
      </c>
      <c r="F60" t="inlineStr">
        <is>
          <t xml:space="preserve">Listening + shadowing</t>
        </is>
      </c>
      <c r="G60" t="inlineStr">
        <is>
          <t xml:space="preserve">A1-015</t>
        </is>
      </c>
      <c r="H60" s="3" t="inlineStr">
        <is>
          <t xml:space="preserve">Can / Can't</t>
        </is>
      </c>
      <c r="I60" s="3" t="inlineStr">
        <is>
          <t xml:space="preserve">GA15 Can / Can't</t>
        </is>
      </c>
      <c r="J60" s="3" t="inlineStr">
        <is>
          <t xml:space="preserve">—</t>
        </is>
      </c>
      <c r="K60">
        <v>0</v>
      </c>
      <c r="L60" s="3" t="inlineStr">
        <is>
          <t xml:space="preserve">ability dialogue</t>
        </is>
      </c>
      <c r="M60" s="3" t="inlineStr">
        <is>
          <t xml:space="preserve">talk about abilities</t>
        </is>
      </c>
      <c r="N60" s="3" t="inlineStr">
        <is>
          <t xml:space="preserve">profile</t>
        </is>
      </c>
      <c r="O60" s="3" t="inlineStr">
        <is>
          <t xml:space="preserve">write about abilities</t>
        </is>
      </c>
      <c r="P60" t="inlineStr">
        <is>
          <t xml:space="preserve">—</t>
        </is>
      </c>
      <c r="Q60">
        <v>60</v>
      </c>
      <c r="R60" s="3" t="inlineStr">
        <is>
          <t xml:space="preserve">—</t>
        </is>
      </c>
      <c r="S60">
        <f>IF(PROGRESS!$E60="Yes","Xong","Chưa làm")</f>
      </c>
      <c r="T60" s="3" t="inlineStr">
        <is>
          <t xml:space="preserve">CHỜ NẠP TỪ: thiếu 10</t>
        </is>
      </c>
    </row>
    <row r="61">
      <c r="A61">
        <v>60</v>
      </c>
      <c r="B61" s="2">
        <v>46359</v>
      </c>
      <c r="C61">
        <v>9</v>
      </c>
      <c r="D61" t="inlineStr">
        <is>
          <t xml:space="preserve">A1</t>
        </is>
      </c>
      <c r="E61" s="3" t="inlineStr">
        <is>
          <t xml:space="preserve">Shopping, travel, directions</t>
        </is>
      </c>
      <c r="F61" t="inlineStr">
        <is>
          <t xml:space="preserve">Speaking drill</t>
        </is>
      </c>
      <c r="G61" t="inlineStr">
        <is>
          <t xml:space="preserve">A1-016</t>
        </is>
      </c>
      <c r="H61" s="3" t="inlineStr">
        <is>
          <t xml:space="preserve">Countable / Uncountable</t>
        </is>
      </c>
      <c r="I61" s="3" t="inlineStr">
        <is>
          <t xml:space="preserve">GA16 Countable / Uncountable</t>
        </is>
      </c>
      <c r="J61" s="3" t="inlineStr">
        <is>
          <t xml:space="preserve">—</t>
        </is>
      </c>
      <c r="K61">
        <v>0</v>
      </c>
      <c r="L61" s="3" t="inlineStr">
        <is>
          <t xml:space="preserve">shopping audio</t>
        </is>
      </c>
      <c r="M61" s="3" t="inlineStr">
        <is>
          <t xml:space="preserve">shopping roleplay</t>
        </is>
      </c>
      <c r="N61" s="3" t="inlineStr">
        <is>
          <t xml:space="preserve">shopping list</t>
        </is>
      </c>
      <c r="O61" s="3" t="inlineStr">
        <is>
          <t xml:space="preserve">write a list</t>
        </is>
      </c>
      <c r="P61" t="inlineStr">
        <is>
          <t xml:space="preserve">—</t>
        </is>
      </c>
      <c r="Q61">
        <v>60</v>
      </c>
      <c r="R61" s="3" t="inlineStr">
        <is>
          <t xml:space="preserve">—</t>
        </is>
      </c>
      <c r="S61">
        <f>IF(PROGRESS!$E61="Yes","Xong","Chưa làm")</f>
      </c>
      <c r="T61" s="3" t="inlineStr">
        <is>
          <t xml:space="preserve">CHỜ NẠP TỪ: thiếu 10</t>
        </is>
      </c>
    </row>
    <row r="62">
      <c r="A62">
        <v>61</v>
      </c>
      <c r="B62" s="2">
        <v>46360</v>
      </c>
      <c r="C62">
        <v>9</v>
      </c>
      <c r="D62" t="inlineStr">
        <is>
          <t xml:space="preserve">A1</t>
        </is>
      </c>
      <c r="E62" s="3" t="inlineStr">
        <is>
          <t xml:space="preserve">Shopping, travel, directions</t>
        </is>
      </c>
      <c r="F62" t="inlineStr">
        <is>
          <t xml:space="preserve">Reading + vocabulary</t>
        </is>
      </c>
      <c r="G62" t="inlineStr">
        <is>
          <t xml:space="preserve">A1-016</t>
        </is>
      </c>
      <c r="H62" s="3" t="inlineStr">
        <is>
          <t xml:space="preserve">Countable / Uncountable</t>
        </is>
      </c>
      <c r="I62" s="3" t="inlineStr">
        <is>
          <t xml:space="preserve">GA16 Countable / Uncountable</t>
        </is>
      </c>
      <c r="J62" s="3" t="inlineStr">
        <is>
          <t xml:space="preserve">—</t>
        </is>
      </c>
      <c r="K62">
        <v>0</v>
      </c>
      <c r="L62" s="3" t="inlineStr">
        <is>
          <t xml:space="preserve">shopping audio</t>
        </is>
      </c>
      <c r="M62" s="3" t="inlineStr">
        <is>
          <t xml:space="preserve">shopping roleplay</t>
        </is>
      </c>
      <c r="N62" s="3" t="inlineStr">
        <is>
          <t xml:space="preserve">shopping list</t>
        </is>
      </c>
      <c r="O62" s="3" t="inlineStr">
        <is>
          <t xml:space="preserve">write a list</t>
        </is>
      </c>
      <c r="P62" t="inlineStr">
        <is>
          <t xml:space="preserve">—</t>
        </is>
      </c>
      <c r="Q62">
        <v>60</v>
      </c>
      <c r="R62" s="3" t="inlineStr">
        <is>
          <t xml:space="preserve">—</t>
        </is>
      </c>
      <c r="S62">
        <f>IF(PROGRESS!$E62="Yes","Xong","Chưa làm")</f>
      </c>
      <c r="T62" s="3" t="inlineStr">
        <is>
          <t xml:space="preserve">CHỜ NẠP TỪ: thiếu 10</t>
        </is>
      </c>
    </row>
    <row r="63">
      <c r="A63">
        <v>62</v>
      </c>
      <c r="B63" s="2">
        <v>46361</v>
      </c>
      <c r="C63">
        <v>9</v>
      </c>
      <c r="D63" t="inlineStr">
        <is>
          <t xml:space="preserve">A1</t>
        </is>
      </c>
      <c r="E63" s="3" t="inlineStr">
        <is>
          <t xml:space="preserve">Shopping, travel, directions</t>
        </is>
      </c>
      <c r="F63" t="inlineStr">
        <is>
          <t xml:space="preserve">Writing + correction</t>
        </is>
      </c>
      <c r="G63" t="inlineStr">
        <is>
          <t xml:space="preserve">A1-016</t>
        </is>
      </c>
      <c r="H63" s="3" t="inlineStr">
        <is>
          <t xml:space="preserve">Countable / Uncountable</t>
        </is>
      </c>
      <c r="I63" s="3" t="inlineStr">
        <is>
          <t xml:space="preserve">GA16 Countable / Uncountable</t>
        </is>
      </c>
      <c r="J63" s="3" t="inlineStr">
        <is>
          <t xml:space="preserve">—</t>
        </is>
      </c>
      <c r="K63">
        <v>0</v>
      </c>
      <c r="L63" s="3" t="inlineStr">
        <is>
          <t xml:space="preserve">shopping audio</t>
        </is>
      </c>
      <c r="M63" s="3" t="inlineStr">
        <is>
          <t xml:space="preserve">shopping roleplay</t>
        </is>
      </c>
      <c r="N63" s="3" t="inlineStr">
        <is>
          <t xml:space="preserve">shopping list</t>
        </is>
      </c>
      <c r="O63" s="3" t="inlineStr">
        <is>
          <t xml:space="preserve">write a list</t>
        </is>
      </c>
      <c r="P63" t="inlineStr">
        <is>
          <t xml:space="preserve">—</t>
        </is>
      </c>
      <c r="Q63">
        <v>60</v>
      </c>
      <c r="R63" s="3" t="inlineStr">
        <is>
          <t xml:space="preserve">—</t>
        </is>
      </c>
      <c r="S63">
        <f>IF(PROGRESS!$E63="Yes","Xong","Chưa làm")</f>
      </c>
      <c r="T63" s="3" t="inlineStr">
        <is>
          <t xml:space="preserve">CHỜ NẠP TỪ: thiếu 10</t>
        </is>
      </c>
    </row>
    <row r="64">
      <c r="A64">
        <v>63</v>
      </c>
      <c r="B64" s="2">
        <v>46362</v>
      </c>
      <c r="C64">
        <v>9</v>
      </c>
      <c r="D64" t="inlineStr">
        <is>
          <t xml:space="preserve">A1</t>
        </is>
      </c>
      <c r="E64" s="3" t="inlineStr">
        <is>
          <t xml:space="preserve">Shopping, travel, directions</t>
        </is>
      </c>
      <c r="F64" t="inlineStr">
        <is>
          <t xml:space="preserve">Weekly review</t>
        </is>
      </c>
      <c r="G64" t="inlineStr">
        <is>
          <t xml:space="preserve">—</t>
        </is>
      </c>
      <c r="H64" s="3" t="inlineStr">
        <is>
          <t xml:space="preserve">Ôn tổng hợp tuần 9</t>
        </is>
      </c>
      <c r="I64" s="3" t="inlineStr">
        <is>
          <t xml:space="preserve">—</t>
        </is>
      </c>
      <c r="J64" s="3" t="inlineStr">
        <is>
          <t xml:space="preserve">—</t>
        </is>
      </c>
      <c r="K64">
        <v>0</v>
      </c>
      <c r="L64" s="3" t="inlineStr">
        <is>
          <t xml:space="preserve">Ôn theo sheet DUE</t>
        </is>
      </c>
      <c r="M64" s="3" t="inlineStr">
        <is>
          <t xml:space="preserve">Nói lại 5 câu của tuần</t>
        </is>
      </c>
      <c r="N64" s="3" t="inlineStr">
        <is>
          <t xml:space="preserve">Đọc lại văn bản tuần</t>
        </is>
      </c>
      <c r="O64" s="3" t="inlineStr">
        <is>
          <t xml:space="preserve">Viết lại đoạn đã sửa</t>
        </is>
      </c>
      <c r="P64" t="inlineStr">
        <is>
          <t xml:space="preserve">—</t>
        </is>
      </c>
      <c r="Q64">
        <v>60</v>
      </c>
      <c r="R64" s="3" t="inlineStr">
        <is>
          <t xml:space="preserve">Test tuần 9</t>
        </is>
      </c>
      <c r="S64">
        <f>IF(PROGRESS!$E64="Yes","Xong","Chưa làm")</f>
      </c>
      <c r="T64" s="3" t="inlineStr">
        <is>
          <t xml:space="preserve">ngày ôn, không thêm từ</t>
        </is>
      </c>
    </row>
    <row r="65">
      <c r="A65">
        <v>64</v>
      </c>
      <c r="B65" s="2">
        <v>46363</v>
      </c>
      <c r="C65">
        <v>10</v>
      </c>
      <c r="D65" t="inlineStr">
        <is>
          <t xml:space="preserve">A1</t>
        </is>
      </c>
      <c r="E65" s="3" t="inlineStr">
        <is>
          <t xml:space="preserve">Food, health, people</t>
        </is>
      </c>
      <c r="F65" t="inlineStr">
        <is>
          <t xml:space="preserve">New concept</t>
        </is>
      </c>
      <c r="G65" t="inlineStr">
        <is>
          <t xml:space="preserve">A1-017</t>
        </is>
      </c>
      <c r="H65" s="3" t="inlineStr">
        <is>
          <t xml:space="preserve">Comparatives</t>
        </is>
      </c>
      <c r="I65" s="3" t="inlineStr">
        <is>
          <t xml:space="preserve">GA17 Comparatives &amp; superlatives</t>
        </is>
      </c>
      <c r="J65" s="3" t="inlineStr">
        <is>
          <t xml:space="preserve">—</t>
        </is>
      </c>
      <c r="K65">
        <v>0</v>
      </c>
      <c r="L65" s="3" t="inlineStr">
        <is>
          <t xml:space="preserve">comparison audio</t>
        </is>
      </c>
      <c r="M65" s="3" t="inlineStr">
        <is>
          <t xml:space="preserve">compare things</t>
        </is>
      </c>
      <c r="N65" s="3" t="inlineStr">
        <is>
          <t xml:space="preserve">short review</t>
        </is>
      </c>
      <c r="O65" s="3" t="inlineStr">
        <is>
          <t xml:space="preserve">write a comparison</t>
        </is>
      </c>
      <c r="P65" t="inlineStr">
        <is>
          <t xml:space="preserve">—</t>
        </is>
      </c>
      <c r="Q65">
        <v>60</v>
      </c>
      <c r="R65" s="3" t="inlineStr">
        <is>
          <t xml:space="preserve">—</t>
        </is>
      </c>
      <c r="S65">
        <f>IF(PROGRESS!$E65="Yes","Xong","Chưa làm")</f>
      </c>
      <c r="T65" s="3" t="inlineStr">
        <is>
          <t xml:space="preserve">CHỜ NẠP TỪ: thiếu 10</t>
        </is>
      </c>
    </row>
    <row r="66">
      <c r="A66">
        <v>65</v>
      </c>
      <c r="B66" s="2">
        <v>46364</v>
      </c>
      <c r="C66">
        <v>10</v>
      </c>
      <c r="D66" t="inlineStr">
        <is>
          <t xml:space="preserve">A1</t>
        </is>
      </c>
      <c r="E66" s="3" t="inlineStr">
        <is>
          <t xml:space="preserve">Food, health, people</t>
        </is>
      </c>
      <c r="F66" t="inlineStr">
        <is>
          <t xml:space="preserve">Guided practice</t>
        </is>
      </c>
      <c r="G66" t="inlineStr">
        <is>
          <t xml:space="preserve">A1-017</t>
        </is>
      </c>
      <c r="H66" s="3" t="inlineStr">
        <is>
          <t xml:space="preserve">Comparatives</t>
        </is>
      </c>
      <c r="I66" s="3" t="inlineStr">
        <is>
          <t xml:space="preserve">GA17 Comparatives &amp; superlatives</t>
        </is>
      </c>
      <c r="J66" s="3" t="inlineStr">
        <is>
          <t xml:space="preserve">—</t>
        </is>
      </c>
      <c r="K66">
        <v>0</v>
      </c>
      <c r="L66" s="3" t="inlineStr">
        <is>
          <t xml:space="preserve">comparison audio</t>
        </is>
      </c>
      <c r="M66" s="3" t="inlineStr">
        <is>
          <t xml:space="preserve">compare things</t>
        </is>
      </c>
      <c r="N66" s="3" t="inlineStr">
        <is>
          <t xml:space="preserve">short review</t>
        </is>
      </c>
      <c r="O66" s="3" t="inlineStr">
        <is>
          <t xml:space="preserve">write a comparison</t>
        </is>
      </c>
      <c r="P66" t="inlineStr">
        <is>
          <t xml:space="preserve">—</t>
        </is>
      </c>
      <c r="Q66">
        <v>60</v>
      </c>
      <c r="R66" s="3" t="inlineStr">
        <is>
          <t xml:space="preserve">—</t>
        </is>
      </c>
      <c r="S66">
        <f>IF(PROGRESS!$E66="Yes","Xong","Chưa làm")</f>
      </c>
      <c r="T66" s="3" t="inlineStr">
        <is>
          <t xml:space="preserve">CHỜ NẠP TỪ: thiếu 10</t>
        </is>
      </c>
    </row>
    <row r="67">
      <c r="A67">
        <v>66</v>
      </c>
      <c r="B67" s="2">
        <v>46365</v>
      </c>
      <c r="C67">
        <v>10</v>
      </c>
      <c r="D67" t="inlineStr">
        <is>
          <t xml:space="preserve">A1</t>
        </is>
      </c>
      <c r="E67" s="3" t="inlineStr">
        <is>
          <t xml:space="preserve">Food, health, people</t>
        </is>
      </c>
      <c r="F67" t="inlineStr">
        <is>
          <t xml:space="preserve">Listening + shadowing</t>
        </is>
      </c>
      <c r="G67" t="inlineStr">
        <is>
          <t xml:space="preserve">A1-018</t>
        </is>
      </c>
      <c r="H67" s="3" t="inlineStr">
        <is>
          <t xml:space="preserve">Travel basics</t>
        </is>
      </c>
      <c r="I67" s="3" t="inlineStr">
        <is>
          <t xml:space="preserve">GA16 Countable / Uncountable</t>
        </is>
      </c>
      <c r="J67" s="3" t="inlineStr">
        <is>
          <t xml:space="preserve">—</t>
        </is>
      </c>
      <c r="K67">
        <v>0</v>
      </c>
      <c r="L67" s="3" t="inlineStr">
        <is>
          <t xml:space="preserve">travel phrases</t>
        </is>
      </c>
      <c r="M67" s="3" t="inlineStr">
        <is>
          <t xml:space="preserve">travel dialogue</t>
        </is>
      </c>
      <c r="N67" s="3" t="inlineStr">
        <is>
          <t xml:space="preserve">hotel roleplay</t>
        </is>
      </c>
      <c r="O67" s="3" t="inlineStr">
        <is>
          <t xml:space="preserve">travel notice</t>
        </is>
      </c>
      <c r="P67" t="inlineStr">
        <is>
          <t xml:space="preserve">—</t>
        </is>
      </c>
      <c r="Q67">
        <v>60</v>
      </c>
      <c r="R67" s="3" t="inlineStr">
        <is>
          <t xml:space="preserve">—</t>
        </is>
      </c>
      <c r="S67">
        <f>IF(PROGRESS!$E67="Yes","Xong","Chưa làm")</f>
      </c>
      <c r="T67" s="3" t="inlineStr">
        <is>
          <t xml:space="preserve">CHỜ NẠP TỪ: thiếu 10</t>
        </is>
      </c>
    </row>
    <row r="68">
      <c r="A68">
        <v>67</v>
      </c>
      <c r="B68" s="2">
        <v>46366</v>
      </c>
      <c r="C68">
        <v>10</v>
      </c>
      <c r="D68" t="inlineStr">
        <is>
          <t xml:space="preserve">A1</t>
        </is>
      </c>
      <c r="E68" s="3" t="inlineStr">
        <is>
          <t xml:space="preserve">Food, health, people</t>
        </is>
      </c>
      <c r="F68" t="inlineStr">
        <is>
          <t xml:space="preserve">Speaking drill</t>
        </is>
      </c>
      <c r="G68" t="inlineStr">
        <is>
          <t xml:space="preserve">A1-018</t>
        </is>
      </c>
      <c r="H68" s="3" t="inlineStr">
        <is>
          <t xml:space="preserve">Travel basics</t>
        </is>
      </c>
      <c r="I68" s="3" t="inlineStr">
        <is>
          <t xml:space="preserve">GA16 Countable / Uncountable</t>
        </is>
      </c>
      <c r="J68" s="3" t="inlineStr">
        <is>
          <t xml:space="preserve">—</t>
        </is>
      </c>
      <c r="K68">
        <v>0</v>
      </c>
      <c r="L68" s="3" t="inlineStr">
        <is>
          <t xml:space="preserve">travel phrases</t>
        </is>
      </c>
      <c r="M68" s="3" t="inlineStr">
        <is>
          <t xml:space="preserve">travel dialogue</t>
        </is>
      </c>
      <c r="N68" s="3" t="inlineStr">
        <is>
          <t xml:space="preserve">hotel roleplay</t>
        </is>
      </c>
      <c r="O68" s="3" t="inlineStr">
        <is>
          <t xml:space="preserve">travel notice</t>
        </is>
      </c>
      <c r="P68" t="inlineStr">
        <is>
          <t xml:space="preserve">—</t>
        </is>
      </c>
      <c r="Q68">
        <v>60</v>
      </c>
      <c r="R68" s="3" t="inlineStr">
        <is>
          <t xml:space="preserve">—</t>
        </is>
      </c>
      <c r="S68">
        <f>IF(PROGRESS!$E68="Yes","Xong","Chưa làm")</f>
      </c>
      <c r="T68" s="3" t="inlineStr">
        <is>
          <t xml:space="preserve">CHỜ NẠP TỪ: thiếu 10</t>
        </is>
      </c>
    </row>
    <row r="69">
      <c r="A69">
        <v>68</v>
      </c>
      <c r="B69" s="2">
        <v>46367</v>
      </c>
      <c r="C69">
        <v>10</v>
      </c>
      <c r="D69" t="inlineStr">
        <is>
          <t xml:space="preserve">A1</t>
        </is>
      </c>
      <c r="E69" s="3" t="inlineStr">
        <is>
          <t xml:space="preserve">Food, health, people</t>
        </is>
      </c>
      <c r="F69" t="inlineStr">
        <is>
          <t xml:space="preserve">Reading + vocabulary</t>
        </is>
      </c>
      <c r="G69" t="inlineStr">
        <is>
          <t xml:space="preserve">A1-019</t>
        </is>
      </c>
      <c r="H69" s="3" t="inlineStr">
        <is>
          <t xml:space="preserve">Health basics</t>
        </is>
      </c>
      <c r="I69" s="3" t="inlineStr">
        <is>
          <t xml:space="preserve">GA15 Can / Can't</t>
        </is>
      </c>
      <c r="J69" s="3" t="inlineStr">
        <is>
          <t xml:space="preserve">—</t>
        </is>
      </c>
      <c r="K69">
        <v>0</v>
      </c>
      <c r="L69" s="3" t="inlineStr">
        <is>
          <t xml:space="preserve">doctor dialogue</t>
        </is>
      </c>
      <c r="M69" s="3" t="inlineStr">
        <is>
          <t xml:space="preserve">describe symptoms</t>
        </is>
      </c>
      <c r="N69" s="3" t="inlineStr">
        <is>
          <t xml:space="preserve">clinic roleplay</t>
        </is>
      </c>
      <c r="O69" s="3" t="inlineStr">
        <is>
          <t xml:space="preserve">health note</t>
        </is>
      </c>
      <c r="P69" t="inlineStr">
        <is>
          <t xml:space="preserve">—</t>
        </is>
      </c>
      <c r="Q69">
        <v>60</v>
      </c>
      <c r="R69" s="3" t="inlineStr">
        <is>
          <t xml:space="preserve">—</t>
        </is>
      </c>
      <c r="S69">
        <f>IF(PROGRESS!$E69="Yes","Xong","Chưa làm")</f>
      </c>
      <c r="T69" s="3" t="inlineStr">
        <is>
          <t xml:space="preserve">CHỜ NẠP TỪ: thiếu 10</t>
        </is>
      </c>
    </row>
    <row r="70">
      <c r="A70">
        <v>69</v>
      </c>
      <c r="B70" s="2">
        <v>46368</v>
      </c>
      <c r="C70">
        <v>10</v>
      </c>
      <c r="D70" t="inlineStr">
        <is>
          <t xml:space="preserve">A1</t>
        </is>
      </c>
      <c r="E70" s="3" t="inlineStr">
        <is>
          <t xml:space="preserve">Food, health, people</t>
        </is>
      </c>
      <c r="F70" t="inlineStr">
        <is>
          <t xml:space="preserve">Writing + correction</t>
        </is>
      </c>
      <c r="G70" t="inlineStr">
        <is>
          <t xml:space="preserve">A1-019</t>
        </is>
      </c>
      <c r="H70" s="3" t="inlineStr">
        <is>
          <t xml:space="preserve">Health basics</t>
        </is>
      </c>
      <c r="I70" s="3" t="inlineStr">
        <is>
          <t xml:space="preserve">GA15 Can / Can't</t>
        </is>
      </c>
      <c r="J70" s="3" t="inlineStr">
        <is>
          <t xml:space="preserve">—</t>
        </is>
      </c>
      <c r="K70">
        <v>0</v>
      </c>
      <c r="L70" s="3" t="inlineStr">
        <is>
          <t xml:space="preserve">doctor dialogue</t>
        </is>
      </c>
      <c r="M70" s="3" t="inlineStr">
        <is>
          <t xml:space="preserve">describe symptoms</t>
        </is>
      </c>
      <c r="N70" s="3" t="inlineStr">
        <is>
          <t xml:space="preserve">clinic roleplay</t>
        </is>
      </c>
      <c r="O70" s="3" t="inlineStr">
        <is>
          <t xml:space="preserve">health note</t>
        </is>
      </c>
      <c r="P70" t="inlineStr">
        <is>
          <t xml:space="preserve">—</t>
        </is>
      </c>
      <c r="Q70">
        <v>60</v>
      </c>
      <c r="R70" s="3" t="inlineStr">
        <is>
          <t xml:space="preserve">—</t>
        </is>
      </c>
      <c r="S70">
        <f>IF(PROGRESS!$E70="Yes","Xong","Chưa làm")</f>
      </c>
      <c r="T70" s="3" t="inlineStr">
        <is>
          <t xml:space="preserve">CHỜ NẠP TỪ: thiếu 10</t>
        </is>
      </c>
    </row>
    <row r="71">
      <c r="A71">
        <v>70</v>
      </c>
      <c r="B71" s="2">
        <v>46369</v>
      </c>
      <c r="C71">
        <v>10</v>
      </c>
      <c r="D71" t="inlineStr">
        <is>
          <t xml:space="preserve">A1</t>
        </is>
      </c>
      <c r="E71" s="3" t="inlineStr">
        <is>
          <t xml:space="preserve">Food, health, people</t>
        </is>
      </c>
      <c r="F71" t="inlineStr">
        <is>
          <t xml:space="preserve">Weekly review</t>
        </is>
      </c>
      <c r="G71" t="inlineStr">
        <is>
          <t xml:space="preserve">—</t>
        </is>
      </c>
      <c r="H71" s="3" t="inlineStr">
        <is>
          <t xml:space="preserve">Ôn tổng hợp tuần 10</t>
        </is>
      </c>
      <c r="I71" s="3" t="inlineStr">
        <is>
          <t xml:space="preserve">—</t>
        </is>
      </c>
      <c r="J71" s="3" t="inlineStr">
        <is>
          <t xml:space="preserve">—</t>
        </is>
      </c>
      <c r="K71">
        <v>0</v>
      </c>
      <c r="L71" s="3" t="inlineStr">
        <is>
          <t xml:space="preserve">Ôn theo sheet DUE</t>
        </is>
      </c>
      <c r="M71" s="3" t="inlineStr">
        <is>
          <t xml:space="preserve">Nói lại 5 câu của tuần</t>
        </is>
      </c>
      <c r="N71" s="3" t="inlineStr">
        <is>
          <t xml:space="preserve">Đọc lại văn bản tuần</t>
        </is>
      </c>
      <c r="O71" s="3" t="inlineStr">
        <is>
          <t xml:space="preserve">Viết lại đoạn đã sửa</t>
        </is>
      </c>
      <c r="P71" t="inlineStr">
        <is>
          <t xml:space="preserve">—</t>
        </is>
      </c>
      <c r="Q71">
        <v>60</v>
      </c>
      <c r="R71" s="3" t="inlineStr">
        <is>
          <t xml:space="preserve">Test chốt A1 (mục tiêu 75% + hoàn thành speaking checklist)</t>
        </is>
      </c>
      <c r="S71">
        <f>IF(PROGRESS!$E71="Yes","Xong","Chưa làm")</f>
      </c>
      <c r="T71" s="3" t="inlineStr">
        <is>
          <t xml:space="preserve">ngày ôn, không thêm từ</t>
        </is>
      </c>
    </row>
    <row r="72">
      <c r="A72">
        <v>71</v>
      </c>
      <c r="B72" s="2">
        <v>46370</v>
      </c>
      <c r="C72">
        <v>11</v>
      </c>
      <c r="D72" t="inlineStr">
        <is>
          <t xml:space="preserve">A2</t>
        </is>
      </c>
      <c r="E72" s="3" t="inlineStr">
        <is>
          <t xml:space="preserve">Present Perfect</t>
        </is>
      </c>
      <c r="F72" t="inlineStr">
        <is>
          <t xml:space="preserve">New concept</t>
        </is>
      </c>
      <c r="G72" t="inlineStr">
        <is>
          <t xml:space="preserve">A2-020</t>
        </is>
      </c>
      <c r="H72" s="3" t="inlineStr">
        <is>
          <t xml:space="preserve">Present Perfect</t>
        </is>
      </c>
      <c r="I72" s="3" t="inlineStr">
        <is>
          <t xml:space="preserve">GA21 Present Perfect</t>
        </is>
      </c>
      <c r="J72" s="3" t="inlineStr">
        <is>
          <t xml:space="preserve">cur_v011 · cur_v012 · a2_act_001 · a2_act_002 · a2_act_003 · a2_act_004 · a2_act_005 · a2_act_006 · a2_act_007 · a2_act_008 · a2_act_009 · a2_act_010</t>
        </is>
      </c>
      <c r="K72">
        <v>12</v>
      </c>
      <c r="L72" s="3" t="inlineStr">
        <is>
          <t xml:space="preserve">experience dialogue</t>
        </is>
      </c>
      <c r="M72" s="3" t="inlineStr">
        <is>
          <t xml:space="preserve">talk about experiences</t>
        </is>
      </c>
      <c r="N72" s="3" t="inlineStr">
        <is>
          <t xml:space="preserve">experience article</t>
        </is>
      </c>
      <c r="O72" s="3" t="inlineStr">
        <is>
          <t xml:space="preserve">experience paragraph</t>
        </is>
      </c>
      <c r="P72" t="inlineStr">
        <is>
          <t xml:space="preserve">E007, E008</t>
        </is>
      </c>
      <c r="Q72">
        <v>60</v>
      </c>
      <c r="R72" s="3" t="inlineStr">
        <is>
          <t xml:space="preserve">—</t>
        </is>
      </c>
      <c r="S72">
        <f>IF(PROGRESS!$E72="Yes","Xong","Chưa làm")</f>
      </c>
      <c r="T72" s="3" t="inlineStr">
        <is>
          <t xml:space="preserve">đủ từ</t>
        </is>
      </c>
    </row>
    <row r="73">
      <c r="A73">
        <v>72</v>
      </c>
      <c r="B73" s="2">
        <v>46371</v>
      </c>
      <c r="C73">
        <v>11</v>
      </c>
      <c r="D73" t="inlineStr">
        <is>
          <t xml:space="preserve">A2</t>
        </is>
      </c>
      <c r="E73" s="3" t="inlineStr">
        <is>
          <t xml:space="preserve">Present Perfect</t>
        </is>
      </c>
      <c r="F73" t="inlineStr">
        <is>
          <t xml:space="preserve">Guided practice</t>
        </is>
      </c>
      <c r="G73" t="inlineStr">
        <is>
          <t xml:space="preserve">A2-020</t>
        </is>
      </c>
      <c r="H73" s="3" t="inlineStr">
        <is>
          <t xml:space="preserve">Present Perfect</t>
        </is>
      </c>
      <c r="I73" s="3" t="inlineStr">
        <is>
          <t xml:space="preserve">GA21 Present Perfect</t>
        </is>
      </c>
      <c r="J73" s="3" t="inlineStr">
        <is>
          <t xml:space="preserve">a2_act_011 · a2_act_012 · a2_desc_001 · a2_desc_002 · a2_desc_003 · a2_desc_004 · a2_desc_005 · a2_desc_006 · a2_desc_007 · a2_desc_008 · a2_desc_009 · a2_desc_010</t>
        </is>
      </c>
      <c r="K73">
        <v>12</v>
      </c>
      <c r="L73" s="3" t="inlineStr">
        <is>
          <t xml:space="preserve">experience dialogue</t>
        </is>
      </c>
      <c r="M73" s="3" t="inlineStr">
        <is>
          <t xml:space="preserve">talk about experiences</t>
        </is>
      </c>
      <c r="N73" s="3" t="inlineStr">
        <is>
          <t xml:space="preserve">experience article</t>
        </is>
      </c>
      <c r="O73" s="3" t="inlineStr">
        <is>
          <t xml:space="preserve">experience paragraph</t>
        </is>
      </c>
      <c r="P73" t="inlineStr">
        <is>
          <t xml:space="preserve">E007, E008</t>
        </is>
      </c>
      <c r="Q73">
        <v>60</v>
      </c>
      <c r="R73" s="3" t="inlineStr">
        <is>
          <t xml:space="preserve">—</t>
        </is>
      </c>
      <c r="S73">
        <f>IF(PROGRESS!$E73="Yes","Xong","Chưa làm")</f>
      </c>
      <c r="T73" s="3" t="inlineStr">
        <is>
          <t xml:space="preserve">đủ từ</t>
        </is>
      </c>
    </row>
    <row r="74">
      <c r="A74">
        <v>73</v>
      </c>
      <c r="B74" s="2">
        <v>46372</v>
      </c>
      <c r="C74">
        <v>11</v>
      </c>
      <c r="D74" t="inlineStr">
        <is>
          <t xml:space="preserve">A2</t>
        </is>
      </c>
      <c r="E74" s="3" t="inlineStr">
        <is>
          <t xml:space="preserve">Present Perfect</t>
        </is>
      </c>
      <c r="F74" t="inlineStr">
        <is>
          <t xml:space="preserve">Listening + shadowing</t>
        </is>
      </c>
      <c r="G74" t="inlineStr">
        <is>
          <t xml:space="preserve">A2-020</t>
        </is>
      </c>
      <c r="H74" s="3" t="inlineStr">
        <is>
          <t xml:space="preserve">Present Perfect</t>
        </is>
      </c>
      <c r="I74" s="3" t="inlineStr">
        <is>
          <t xml:space="preserve">GA21 Present Perfect</t>
        </is>
      </c>
      <c r="J74" s="3" t="inlineStr">
        <is>
          <t xml:space="preserve">a2_desc_011 · a2_desc_012</t>
        </is>
      </c>
      <c r="K74">
        <v>2</v>
      </c>
      <c r="L74" s="3" t="inlineStr">
        <is>
          <t xml:space="preserve">experience dialogue</t>
        </is>
      </c>
      <c r="M74" s="3" t="inlineStr">
        <is>
          <t xml:space="preserve">talk about experiences</t>
        </is>
      </c>
      <c r="N74" s="3" t="inlineStr">
        <is>
          <t xml:space="preserve">experience article</t>
        </is>
      </c>
      <c r="O74" s="3" t="inlineStr">
        <is>
          <t xml:space="preserve">experience paragraph</t>
        </is>
      </c>
      <c r="P74" t="inlineStr">
        <is>
          <t xml:space="preserve">E007, E008</t>
        </is>
      </c>
      <c r="Q74">
        <v>60</v>
      </c>
      <c r="R74" s="3" t="inlineStr">
        <is>
          <t xml:space="preserve">—</t>
        </is>
      </c>
      <c r="S74">
        <f>IF(PROGRESS!$E74="Yes","Xong","Chưa làm")</f>
      </c>
      <c r="T74" s="3" t="inlineStr">
        <is>
          <t xml:space="preserve">CHỜ NẠP TỪ: thiếu 10</t>
        </is>
      </c>
    </row>
    <row r="75">
      <c r="A75">
        <v>74</v>
      </c>
      <c r="B75" s="2">
        <v>46373</v>
      </c>
      <c r="C75">
        <v>11</v>
      </c>
      <c r="D75" t="inlineStr">
        <is>
          <t xml:space="preserve">A2</t>
        </is>
      </c>
      <c r="E75" s="3" t="inlineStr">
        <is>
          <t xml:space="preserve">Present Perfect</t>
        </is>
      </c>
      <c r="F75" t="inlineStr">
        <is>
          <t xml:space="preserve">Speaking drill</t>
        </is>
      </c>
      <c r="G75" t="inlineStr">
        <is>
          <t xml:space="preserve">A2-020</t>
        </is>
      </c>
      <c r="H75" s="3" t="inlineStr">
        <is>
          <t xml:space="preserve">Present Perfect</t>
        </is>
      </c>
      <c r="I75" s="3" t="inlineStr">
        <is>
          <t xml:space="preserve">GA21 Present Perfect</t>
        </is>
      </c>
      <c r="J75" s="3" t="inlineStr">
        <is>
          <t xml:space="preserve">—</t>
        </is>
      </c>
      <c r="K75">
        <v>0</v>
      </c>
      <c r="L75" s="3" t="inlineStr">
        <is>
          <t xml:space="preserve">experience dialogue</t>
        </is>
      </c>
      <c r="M75" s="3" t="inlineStr">
        <is>
          <t xml:space="preserve">talk about experiences</t>
        </is>
      </c>
      <c r="N75" s="3" t="inlineStr">
        <is>
          <t xml:space="preserve">experience article</t>
        </is>
      </c>
      <c r="O75" s="3" t="inlineStr">
        <is>
          <t xml:space="preserve">experience paragraph</t>
        </is>
      </c>
      <c r="P75" t="inlineStr">
        <is>
          <t xml:space="preserve">E007, E008</t>
        </is>
      </c>
      <c r="Q75">
        <v>60</v>
      </c>
      <c r="R75" s="3" t="inlineStr">
        <is>
          <t xml:space="preserve">—</t>
        </is>
      </c>
      <c r="S75">
        <f>IF(PROGRESS!$E75="Yes","Xong","Chưa làm")</f>
      </c>
      <c r="T75" s="3" t="inlineStr">
        <is>
          <t xml:space="preserve">CHỜ NẠP TỪ: thiếu 12</t>
        </is>
      </c>
    </row>
    <row r="76">
      <c r="A76">
        <v>75</v>
      </c>
      <c r="B76" s="2">
        <v>46374</v>
      </c>
      <c r="C76">
        <v>11</v>
      </c>
      <c r="D76" t="inlineStr">
        <is>
          <t xml:space="preserve">A2</t>
        </is>
      </c>
      <c r="E76" s="3" t="inlineStr">
        <is>
          <t xml:space="preserve">Present Perfect</t>
        </is>
      </c>
      <c r="F76" t="inlineStr">
        <is>
          <t xml:space="preserve">Reading + vocabulary</t>
        </is>
      </c>
      <c r="G76" t="inlineStr">
        <is>
          <t xml:space="preserve">A2-020</t>
        </is>
      </c>
      <c r="H76" s="3" t="inlineStr">
        <is>
          <t xml:space="preserve">Present Perfect</t>
        </is>
      </c>
      <c r="I76" s="3" t="inlineStr">
        <is>
          <t xml:space="preserve">GA21 Present Perfect</t>
        </is>
      </c>
      <c r="J76" s="3" t="inlineStr">
        <is>
          <t xml:space="preserve">—</t>
        </is>
      </c>
      <c r="K76">
        <v>0</v>
      </c>
      <c r="L76" s="3" t="inlineStr">
        <is>
          <t xml:space="preserve">experience dialogue</t>
        </is>
      </c>
      <c r="M76" s="3" t="inlineStr">
        <is>
          <t xml:space="preserve">talk about experiences</t>
        </is>
      </c>
      <c r="N76" s="3" t="inlineStr">
        <is>
          <t xml:space="preserve">experience article</t>
        </is>
      </c>
      <c r="O76" s="3" t="inlineStr">
        <is>
          <t xml:space="preserve">experience paragraph</t>
        </is>
      </c>
      <c r="P76" t="inlineStr">
        <is>
          <t xml:space="preserve">E007, E008</t>
        </is>
      </c>
      <c r="Q76">
        <v>60</v>
      </c>
      <c r="R76" s="3" t="inlineStr">
        <is>
          <t xml:space="preserve">—</t>
        </is>
      </c>
      <c r="S76">
        <f>IF(PROGRESS!$E76="Yes","Xong","Chưa làm")</f>
      </c>
      <c r="T76" s="3" t="inlineStr">
        <is>
          <t xml:space="preserve">CHỜ NẠP TỪ: thiếu 12</t>
        </is>
      </c>
    </row>
    <row r="77">
      <c r="A77">
        <v>76</v>
      </c>
      <c r="B77" s="2">
        <v>46375</v>
      </c>
      <c r="C77">
        <v>11</v>
      </c>
      <c r="D77" t="inlineStr">
        <is>
          <t xml:space="preserve">A2</t>
        </is>
      </c>
      <c r="E77" s="3" t="inlineStr">
        <is>
          <t xml:space="preserve">Present Perfect</t>
        </is>
      </c>
      <c r="F77" t="inlineStr">
        <is>
          <t xml:space="preserve">Writing + correction</t>
        </is>
      </c>
      <c r="G77" t="inlineStr">
        <is>
          <t xml:space="preserve">A2-020</t>
        </is>
      </c>
      <c r="H77" s="3" t="inlineStr">
        <is>
          <t xml:space="preserve">Present Perfect</t>
        </is>
      </c>
      <c r="I77" s="3" t="inlineStr">
        <is>
          <t xml:space="preserve">GA21 Present Perfect</t>
        </is>
      </c>
      <c r="J77" s="3" t="inlineStr">
        <is>
          <t xml:space="preserve">—</t>
        </is>
      </c>
      <c r="K77">
        <v>0</v>
      </c>
      <c r="L77" s="3" t="inlineStr">
        <is>
          <t xml:space="preserve">experience dialogue</t>
        </is>
      </c>
      <c r="M77" s="3" t="inlineStr">
        <is>
          <t xml:space="preserve">talk about experiences</t>
        </is>
      </c>
      <c r="N77" s="3" t="inlineStr">
        <is>
          <t xml:space="preserve">experience article</t>
        </is>
      </c>
      <c r="O77" s="3" t="inlineStr">
        <is>
          <t xml:space="preserve">experience paragraph</t>
        </is>
      </c>
      <c r="P77" t="inlineStr">
        <is>
          <t xml:space="preserve">E007, E008</t>
        </is>
      </c>
      <c r="Q77">
        <v>60</v>
      </c>
      <c r="R77" s="3" t="inlineStr">
        <is>
          <t xml:space="preserve">—</t>
        </is>
      </c>
      <c r="S77">
        <f>IF(PROGRESS!$E77="Yes","Xong","Chưa làm")</f>
      </c>
      <c r="T77" s="3" t="inlineStr">
        <is>
          <t xml:space="preserve">CHỜ NẠP TỪ: thiếu 12</t>
        </is>
      </c>
    </row>
    <row r="78">
      <c r="A78">
        <v>77</v>
      </c>
      <c r="B78" s="2">
        <v>46376</v>
      </c>
      <c r="C78">
        <v>11</v>
      </c>
      <c r="D78" t="inlineStr">
        <is>
          <t xml:space="preserve">A2</t>
        </is>
      </c>
      <c r="E78" s="3" t="inlineStr">
        <is>
          <t xml:space="preserve">Present Perfect</t>
        </is>
      </c>
      <c r="F78" t="inlineStr">
        <is>
          <t xml:space="preserve">Weekly review</t>
        </is>
      </c>
      <c r="G78" t="inlineStr">
        <is>
          <t xml:space="preserve">—</t>
        </is>
      </c>
      <c r="H78" s="3" t="inlineStr">
        <is>
          <t xml:space="preserve">Ôn tổng hợp tuần 11</t>
        </is>
      </c>
      <c r="I78" s="3" t="inlineStr">
        <is>
          <t xml:space="preserve">—</t>
        </is>
      </c>
      <c r="J78" s="3" t="inlineStr">
        <is>
          <t xml:space="preserve">—</t>
        </is>
      </c>
      <c r="K78">
        <v>0</v>
      </c>
      <c r="L78" s="3" t="inlineStr">
        <is>
          <t xml:space="preserve">Ôn theo sheet DUE</t>
        </is>
      </c>
      <c r="M78" s="3" t="inlineStr">
        <is>
          <t xml:space="preserve">Nói lại 5 câu của tuần</t>
        </is>
      </c>
      <c r="N78" s="3" t="inlineStr">
        <is>
          <t xml:space="preserve">Đọc lại văn bản tuần</t>
        </is>
      </c>
      <c r="O78" s="3" t="inlineStr">
        <is>
          <t xml:space="preserve">Viết lại đoạn đã sửa</t>
        </is>
      </c>
      <c r="P78" t="inlineStr">
        <is>
          <t xml:space="preserve">E007, E008</t>
        </is>
      </c>
      <c r="Q78">
        <v>60</v>
      </c>
      <c r="R78" s="3" t="inlineStr">
        <is>
          <t xml:space="preserve">Test tuần 11</t>
        </is>
      </c>
      <c r="S78">
        <f>IF(PROGRESS!$E78="Yes","Xong","Chưa làm")</f>
      </c>
      <c r="T78" s="3" t="inlineStr">
        <is>
          <t xml:space="preserve">ngày ôn, không thêm từ</t>
        </is>
      </c>
    </row>
    <row r="79">
      <c r="A79">
        <v>78</v>
      </c>
      <c r="B79" s="2">
        <v>46377</v>
      </c>
      <c r="C79">
        <v>12</v>
      </c>
      <c r="D79" t="inlineStr">
        <is>
          <t xml:space="preserve">A2</t>
        </is>
      </c>
      <c r="E79" s="3" t="inlineStr">
        <is>
          <t xml:space="preserve">Past Continuous &amp; storytelling</t>
        </is>
      </c>
      <c r="F79" t="inlineStr">
        <is>
          <t xml:space="preserve">New concept</t>
        </is>
      </c>
      <c r="G79" t="inlineStr">
        <is>
          <t xml:space="preserve">A2-021</t>
        </is>
      </c>
      <c r="H79" s="3" t="inlineStr">
        <is>
          <t xml:space="preserve">Past Continuous</t>
        </is>
      </c>
      <c r="I79" s="3" t="inlineStr">
        <is>
          <t xml:space="preserve">GA22 Past Continuous</t>
        </is>
      </c>
      <c r="J79" s="3" t="inlineStr">
        <is>
          <t xml:space="preserve">—</t>
        </is>
      </c>
      <c r="K79">
        <v>0</v>
      </c>
      <c r="L79" s="3" t="inlineStr">
        <is>
          <t xml:space="preserve">story audio</t>
        </is>
      </c>
      <c r="M79" s="3" t="inlineStr">
        <is>
          <t xml:space="preserve">tell an interrupted event</t>
        </is>
      </c>
      <c r="N79" s="3" t="inlineStr">
        <is>
          <t xml:space="preserve">story text</t>
        </is>
      </c>
      <c r="O79" s="3" t="inlineStr">
        <is>
          <t xml:space="preserve">write a story</t>
        </is>
      </c>
      <c r="P79" t="inlineStr">
        <is>
          <t xml:space="preserve">—</t>
        </is>
      </c>
      <c r="Q79">
        <v>60</v>
      </c>
      <c r="R79" s="3" t="inlineStr">
        <is>
          <t xml:space="preserve">—</t>
        </is>
      </c>
      <c r="S79">
        <f>IF(PROGRESS!$E79="Yes","Xong","Chưa làm")</f>
      </c>
      <c r="T79" s="3" t="inlineStr">
        <is>
          <t xml:space="preserve">CHỜ NẠP TỪ: thiếu 12</t>
        </is>
      </c>
    </row>
    <row r="80">
      <c r="A80">
        <v>79</v>
      </c>
      <c r="B80" s="2">
        <v>46378</v>
      </c>
      <c r="C80">
        <v>12</v>
      </c>
      <c r="D80" t="inlineStr">
        <is>
          <t xml:space="preserve">A2</t>
        </is>
      </c>
      <c r="E80" s="3" t="inlineStr">
        <is>
          <t xml:space="preserve">Past Continuous &amp; storytelling</t>
        </is>
      </c>
      <c r="F80" t="inlineStr">
        <is>
          <t xml:space="preserve">Guided practice</t>
        </is>
      </c>
      <c r="G80" t="inlineStr">
        <is>
          <t xml:space="preserve">A2-021</t>
        </is>
      </c>
      <c r="H80" s="3" t="inlineStr">
        <is>
          <t xml:space="preserve">Past Continuous</t>
        </is>
      </c>
      <c r="I80" s="3" t="inlineStr">
        <is>
          <t xml:space="preserve">GA22 Past Continuous</t>
        </is>
      </c>
      <c r="J80" s="3" t="inlineStr">
        <is>
          <t xml:space="preserve">—</t>
        </is>
      </c>
      <c r="K80">
        <v>0</v>
      </c>
      <c r="L80" s="3" t="inlineStr">
        <is>
          <t xml:space="preserve">story audio</t>
        </is>
      </c>
      <c r="M80" s="3" t="inlineStr">
        <is>
          <t xml:space="preserve">tell an interrupted event</t>
        </is>
      </c>
      <c r="N80" s="3" t="inlineStr">
        <is>
          <t xml:space="preserve">story text</t>
        </is>
      </c>
      <c r="O80" s="3" t="inlineStr">
        <is>
          <t xml:space="preserve">write a story</t>
        </is>
      </c>
      <c r="P80" t="inlineStr">
        <is>
          <t xml:space="preserve">—</t>
        </is>
      </c>
      <c r="Q80">
        <v>60</v>
      </c>
      <c r="R80" s="3" t="inlineStr">
        <is>
          <t xml:space="preserve">—</t>
        </is>
      </c>
      <c r="S80">
        <f>IF(PROGRESS!$E80="Yes","Xong","Chưa làm")</f>
      </c>
      <c r="T80" s="3" t="inlineStr">
        <is>
          <t xml:space="preserve">CHỜ NẠP TỪ: thiếu 12</t>
        </is>
      </c>
    </row>
    <row r="81">
      <c r="A81">
        <v>80</v>
      </c>
      <c r="B81" s="2">
        <v>46379</v>
      </c>
      <c r="C81">
        <v>12</v>
      </c>
      <c r="D81" t="inlineStr">
        <is>
          <t xml:space="preserve">A2</t>
        </is>
      </c>
      <c r="E81" s="3" t="inlineStr">
        <is>
          <t xml:space="preserve">Past Continuous &amp; storytelling</t>
        </is>
      </c>
      <c r="F81" t="inlineStr">
        <is>
          <t xml:space="preserve">Listening + shadowing</t>
        </is>
      </c>
      <c r="G81" t="inlineStr">
        <is>
          <t xml:space="preserve">A2-021</t>
        </is>
      </c>
      <c r="H81" s="3" t="inlineStr">
        <is>
          <t xml:space="preserve">Past Continuous</t>
        </is>
      </c>
      <c r="I81" s="3" t="inlineStr">
        <is>
          <t xml:space="preserve">GA22 Past Continuous</t>
        </is>
      </c>
      <c r="J81" s="3" t="inlineStr">
        <is>
          <t xml:space="preserve">—</t>
        </is>
      </c>
      <c r="K81">
        <v>0</v>
      </c>
      <c r="L81" s="3" t="inlineStr">
        <is>
          <t xml:space="preserve">story audio</t>
        </is>
      </c>
      <c r="M81" s="3" t="inlineStr">
        <is>
          <t xml:space="preserve">tell an interrupted event</t>
        </is>
      </c>
      <c r="N81" s="3" t="inlineStr">
        <is>
          <t xml:space="preserve">story text</t>
        </is>
      </c>
      <c r="O81" s="3" t="inlineStr">
        <is>
          <t xml:space="preserve">write a story</t>
        </is>
      </c>
      <c r="P81" t="inlineStr">
        <is>
          <t xml:space="preserve">—</t>
        </is>
      </c>
      <c r="Q81">
        <v>60</v>
      </c>
      <c r="R81" s="3" t="inlineStr">
        <is>
          <t xml:space="preserve">—</t>
        </is>
      </c>
      <c r="S81">
        <f>IF(PROGRESS!$E81="Yes","Xong","Chưa làm")</f>
      </c>
      <c r="T81" s="3" t="inlineStr">
        <is>
          <t xml:space="preserve">CHỜ NẠP TỪ: thiếu 12</t>
        </is>
      </c>
    </row>
    <row r="82">
      <c r="A82">
        <v>81</v>
      </c>
      <c r="B82" s="2">
        <v>46380</v>
      </c>
      <c r="C82">
        <v>12</v>
      </c>
      <c r="D82" t="inlineStr">
        <is>
          <t xml:space="preserve">A2</t>
        </is>
      </c>
      <c r="E82" s="3" t="inlineStr">
        <is>
          <t xml:space="preserve">Past Continuous &amp; storytelling</t>
        </is>
      </c>
      <c r="F82" t="inlineStr">
        <is>
          <t xml:space="preserve">Speaking drill</t>
        </is>
      </c>
      <c r="G82" t="inlineStr">
        <is>
          <t xml:space="preserve">A2-021</t>
        </is>
      </c>
      <c r="H82" s="3" t="inlineStr">
        <is>
          <t xml:space="preserve">Past Continuous</t>
        </is>
      </c>
      <c r="I82" s="3" t="inlineStr">
        <is>
          <t xml:space="preserve">GA22 Past Continuous</t>
        </is>
      </c>
      <c r="J82" s="3" t="inlineStr">
        <is>
          <t xml:space="preserve">—</t>
        </is>
      </c>
      <c r="K82">
        <v>0</v>
      </c>
      <c r="L82" s="3" t="inlineStr">
        <is>
          <t xml:space="preserve">story audio</t>
        </is>
      </c>
      <c r="M82" s="3" t="inlineStr">
        <is>
          <t xml:space="preserve">tell an interrupted event</t>
        </is>
      </c>
      <c r="N82" s="3" t="inlineStr">
        <is>
          <t xml:space="preserve">story text</t>
        </is>
      </c>
      <c r="O82" s="3" t="inlineStr">
        <is>
          <t xml:space="preserve">write a story</t>
        </is>
      </c>
      <c r="P82" t="inlineStr">
        <is>
          <t xml:space="preserve">—</t>
        </is>
      </c>
      <c r="Q82">
        <v>60</v>
      </c>
      <c r="R82" s="3" t="inlineStr">
        <is>
          <t xml:space="preserve">—</t>
        </is>
      </c>
      <c r="S82">
        <f>IF(PROGRESS!$E82="Yes","Xong","Chưa làm")</f>
      </c>
      <c r="T82" s="3" t="inlineStr">
        <is>
          <t xml:space="preserve">CHỜ NẠP TỪ: thiếu 12</t>
        </is>
      </c>
    </row>
    <row r="83">
      <c r="A83">
        <v>82</v>
      </c>
      <c r="B83" s="2">
        <v>46381</v>
      </c>
      <c r="C83">
        <v>12</v>
      </c>
      <c r="D83" t="inlineStr">
        <is>
          <t xml:space="preserve">A2</t>
        </is>
      </c>
      <c r="E83" s="3" t="inlineStr">
        <is>
          <t xml:space="preserve">Past Continuous &amp; storytelling</t>
        </is>
      </c>
      <c r="F83" t="inlineStr">
        <is>
          <t xml:space="preserve">Reading + vocabulary</t>
        </is>
      </c>
      <c r="G83" t="inlineStr">
        <is>
          <t xml:space="preserve">A2-021</t>
        </is>
      </c>
      <c r="H83" s="3" t="inlineStr">
        <is>
          <t xml:space="preserve">Past Continuous</t>
        </is>
      </c>
      <c r="I83" s="3" t="inlineStr">
        <is>
          <t xml:space="preserve">GA22 Past Continuous</t>
        </is>
      </c>
      <c r="J83" s="3" t="inlineStr">
        <is>
          <t xml:space="preserve">—</t>
        </is>
      </c>
      <c r="K83">
        <v>0</v>
      </c>
      <c r="L83" s="3" t="inlineStr">
        <is>
          <t xml:space="preserve">story audio</t>
        </is>
      </c>
      <c r="M83" s="3" t="inlineStr">
        <is>
          <t xml:space="preserve">tell an interrupted event</t>
        </is>
      </c>
      <c r="N83" s="3" t="inlineStr">
        <is>
          <t xml:space="preserve">story text</t>
        </is>
      </c>
      <c r="O83" s="3" t="inlineStr">
        <is>
          <t xml:space="preserve">write a story</t>
        </is>
      </c>
      <c r="P83" t="inlineStr">
        <is>
          <t xml:space="preserve">—</t>
        </is>
      </c>
      <c r="Q83">
        <v>60</v>
      </c>
      <c r="R83" s="3" t="inlineStr">
        <is>
          <t xml:space="preserve">—</t>
        </is>
      </c>
      <c r="S83">
        <f>IF(PROGRESS!$E83="Yes","Xong","Chưa làm")</f>
      </c>
      <c r="T83" s="3" t="inlineStr">
        <is>
          <t xml:space="preserve">CHỜ NẠP TỪ: thiếu 12</t>
        </is>
      </c>
    </row>
    <row r="84">
      <c r="A84">
        <v>83</v>
      </c>
      <c r="B84" s="2">
        <v>46382</v>
      </c>
      <c r="C84">
        <v>12</v>
      </c>
      <c r="D84" t="inlineStr">
        <is>
          <t xml:space="preserve">A2</t>
        </is>
      </c>
      <c r="E84" s="3" t="inlineStr">
        <is>
          <t xml:space="preserve">Past Continuous &amp; storytelling</t>
        </is>
      </c>
      <c r="F84" t="inlineStr">
        <is>
          <t xml:space="preserve">Writing + correction</t>
        </is>
      </c>
      <c r="G84" t="inlineStr">
        <is>
          <t xml:space="preserve">A2-021</t>
        </is>
      </c>
      <c r="H84" s="3" t="inlineStr">
        <is>
          <t xml:space="preserve">Past Continuous</t>
        </is>
      </c>
      <c r="I84" s="3" t="inlineStr">
        <is>
          <t xml:space="preserve">GA22 Past Continuous</t>
        </is>
      </c>
      <c r="J84" s="3" t="inlineStr">
        <is>
          <t xml:space="preserve">—</t>
        </is>
      </c>
      <c r="K84">
        <v>0</v>
      </c>
      <c r="L84" s="3" t="inlineStr">
        <is>
          <t xml:space="preserve">story audio</t>
        </is>
      </c>
      <c r="M84" s="3" t="inlineStr">
        <is>
          <t xml:space="preserve">tell an interrupted event</t>
        </is>
      </c>
      <c r="N84" s="3" t="inlineStr">
        <is>
          <t xml:space="preserve">story text</t>
        </is>
      </c>
      <c r="O84" s="3" t="inlineStr">
        <is>
          <t xml:space="preserve">write a story</t>
        </is>
      </c>
      <c r="P84" t="inlineStr">
        <is>
          <t xml:space="preserve">—</t>
        </is>
      </c>
      <c r="Q84">
        <v>60</v>
      </c>
      <c r="R84" s="3" t="inlineStr">
        <is>
          <t xml:space="preserve">—</t>
        </is>
      </c>
      <c r="S84">
        <f>IF(PROGRESS!$E84="Yes","Xong","Chưa làm")</f>
      </c>
      <c r="T84" s="3" t="inlineStr">
        <is>
          <t xml:space="preserve">CHỜ NẠP TỪ: thiếu 12</t>
        </is>
      </c>
    </row>
    <row r="85">
      <c r="A85">
        <v>84</v>
      </c>
      <c r="B85" s="2">
        <v>46383</v>
      </c>
      <c r="C85">
        <v>12</v>
      </c>
      <c r="D85" t="inlineStr">
        <is>
          <t xml:space="preserve">A2</t>
        </is>
      </c>
      <c r="E85" s="3" t="inlineStr">
        <is>
          <t xml:space="preserve">Past Continuous &amp; storytelling</t>
        </is>
      </c>
      <c r="F85" t="inlineStr">
        <is>
          <t xml:space="preserve">Weekly review</t>
        </is>
      </c>
      <c r="G85" t="inlineStr">
        <is>
          <t xml:space="preserve">—</t>
        </is>
      </c>
      <c r="H85" s="3" t="inlineStr">
        <is>
          <t xml:space="preserve">Ôn tổng hợp tuần 12</t>
        </is>
      </c>
      <c r="I85" s="3" t="inlineStr">
        <is>
          <t xml:space="preserve">—</t>
        </is>
      </c>
      <c r="J85" s="3" t="inlineStr">
        <is>
          <t xml:space="preserve">—</t>
        </is>
      </c>
      <c r="K85">
        <v>0</v>
      </c>
      <c r="L85" s="3" t="inlineStr">
        <is>
          <t xml:space="preserve">Ôn theo sheet DUE</t>
        </is>
      </c>
      <c r="M85" s="3" t="inlineStr">
        <is>
          <t xml:space="preserve">Nói lại 5 câu của tuần</t>
        </is>
      </c>
      <c r="N85" s="3" t="inlineStr">
        <is>
          <t xml:space="preserve">Đọc lại văn bản tuần</t>
        </is>
      </c>
      <c r="O85" s="3" t="inlineStr">
        <is>
          <t xml:space="preserve">Viết lại đoạn đã sửa</t>
        </is>
      </c>
      <c r="P85" t="inlineStr">
        <is>
          <t xml:space="preserve">—</t>
        </is>
      </c>
      <c r="Q85">
        <v>60</v>
      </c>
      <c r="R85" s="3" t="inlineStr">
        <is>
          <t xml:space="preserve">Test tuần 12</t>
        </is>
      </c>
      <c r="S85">
        <f>IF(PROGRESS!$E85="Yes","Xong","Chưa làm")</f>
      </c>
      <c r="T85" s="3" t="inlineStr">
        <is>
          <t xml:space="preserve">ngày ôn, không thêm từ</t>
        </is>
      </c>
    </row>
    <row r="86">
      <c r="A86">
        <v>85</v>
      </c>
      <c r="B86" s="2">
        <v>46384</v>
      </c>
      <c r="C86">
        <v>13</v>
      </c>
      <c r="D86" t="inlineStr">
        <is>
          <t xml:space="preserve">A2</t>
        </is>
      </c>
      <c r="E86" s="3" t="inlineStr">
        <is>
          <t xml:space="preserve">Future, predictions &amp; plans</t>
        </is>
      </c>
      <c r="F86" t="inlineStr">
        <is>
          <t xml:space="preserve">New concept</t>
        </is>
      </c>
      <c r="G86" t="inlineStr">
        <is>
          <t xml:space="preserve">A2-022</t>
        </is>
      </c>
      <c r="H86" s="3" t="inlineStr">
        <is>
          <t xml:space="preserve">Will vs going to</t>
        </is>
      </c>
      <c r="I86" s="3" t="inlineStr">
        <is>
          <t xml:space="preserve">GA23 Will vs going to</t>
        </is>
      </c>
      <c r="J86" s="3" t="inlineStr">
        <is>
          <t xml:space="preserve">—</t>
        </is>
      </c>
      <c r="K86">
        <v>0</v>
      </c>
      <c r="L86" s="3" t="inlineStr">
        <is>
          <t xml:space="preserve">future audio</t>
        </is>
      </c>
      <c r="M86" s="3" t="inlineStr">
        <is>
          <t xml:space="preserve">make predictions</t>
        </is>
      </c>
      <c r="N86" s="3" t="inlineStr">
        <is>
          <t xml:space="preserve">future article</t>
        </is>
      </c>
      <c r="O86" s="3" t="inlineStr">
        <is>
          <t xml:space="preserve">future plan</t>
        </is>
      </c>
      <c r="P86" t="inlineStr">
        <is>
          <t xml:space="preserve">—</t>
        </is>
      </c>
      <c r="Q86">
        <v>60</v>
      </c>
      <c r="R86" s="3" t="inlineStr">
        <is>
          <t xml:space="preserve">—</t>
        </is>
      </c>
      <c r="S86">
        <f>IF(PROGRESS!$E86="Yes","Xong","Chưa làm")</f>
      </c>
      <c r="T86" s="3" t="inlineStr">
        <is>
          <t xml:space="preserve">CHỜ NẠP TỪ: thiếu 12</t>
        </is>
      </c>
    </row>
    <row r="87">
      <c r="A87">
        <v>86</v>
      </c>
      <c r="B87" s="2">
        <v>46385</v>
      </c>
      <c r="C87">
        <v>13</v>
      </c>
      <c r="D87" t="inlineStr">
        <is>
          <t xml:space="preserve">A2</t>
        </is>
      </c>
      <c r="E87" s="3" t="inlineStr">
        <is>
          <t xml:space="preserve">Future, predictions &amp; plans</t>
        </is>
      </c>
      <c r="F87" t="inlineStr">
        <is>
          <t xml:space="preserve">Guided practice</t>
        </is>
      </c>
      <c r="G87" t="inlineStr">
        <is>
          <t xml:space="preserve">A2-022</t>
        </is>
      </c>
      <c r="H87" s="3" t="inlineStr">
        <is>
          <t xml:space="preserve">Will vs going to</t>
        </is>
      </c>
      <c r="I87" s="3" t="inlineStr">
        <is>
          <t xml:space="preserve">GA23 Will vs going to</t>
        </is>
      </c>
      <c r="J87" s="3" t="inlineStr">
        <is>
          <t xml:space="preserve">—</t>
        </is>
      </c>
      <c r="K87">
        <v>0</v>
      </c>
      <c r="L87" s="3" t="inlineStr">
        <is>
          <t xml:space="preserve">future audio</t>
        </is>
      </c>
      <c r="M87" s="3" t="inlineStr">
        <is>
          <t xml:space="preserve">make predictions</t>
        </is>
      </c>
      <c r="N87" s="3" t="inlineStr">
        <is>
          <t xml:space="preserve">future article</t>
        </is>
      </c>
      <c r="O87" s="3" t="inlineStr">
        <is>
          <t xml:space="preserve">future plan</t>
        </is>
      </c>
      <c r="P87" t="inlineStr">
        <is>
          <t xml:space="preserve">—</t>
        </is>
      </c>
      <c r="Q87">
        <v>60</v>
      </c>
      <c r="R87" s="3" t="inlineStr">
        <is>
          <t xml:space="preserve">—</t>
        </is>
      </c>
      <c r="S87">
        <f>IF(PROGRESS!$E87="Yes","Xong","Chưa làm")</f>
      </c>
      <c r="T87" s="3" t="inlineStr">
        <is>
          <t xml:space="preserve">CHỜ NẠP TỪ: thiếu 12</t>
        </is>
      </c>
    </row>
    <row r="88">
      <c r="A88">
        <v>87</v>
      </c>
      <c r="B88" s="2">
        <v>46386</v>
      </c>
      <c r="C88">
        <v>13</v>
      </c>
      <c r="D88" t="inlineStr">
        <is>
          <t xml:space="preserve">A2</t>
        </is>
      </c>
      <c r="E88" s="3" t="inlineStr">
        <is>
          <t xml:space="preserve">Future, predictions &amp; plans</t>
        </is>
      </c>
      <c r="F88" t="inlineStr">
        <is>
          <t xml:space="preserve">Listening + shadowing</t>
        </is>
      </c>
      <c r="G88" t="inlineStr">
        <is>
          <t xml:space="preserve">A2-022</t>
        </is>
      </c>
      <c r="H88" s="3" t="inlineStr">
        <is>
          <t xml:space="preserve">Will vs going to</t>
        </is>
      </c>
      <c r="I88" s="3" t="inlineStr">
        <is>
          <t xml:space="preserve">GA23 Will vs going to</t>
        </is>
      </c>
      <c r="J88" s="3" t="inlineStr">
        <is>
          <t xml:space="preserve">—</t>
        </is>
      </c>
      <c r="K88">
        <v>0</v>
      </c>
      <c r="L88" s="3" t="inlineStr">
        <is>
          <t xml:space="preserve">future audio</t>
        </is>
      </c>
      <c r="M88" s="3" t="inlineStr">
        <is>
          <t xml:space="preserve">make predictions</t>
        </is>
      </c>
      <c r="N88" s="3" t="inlineStr">
        <is>
          <t xml:space="preserve">future article</t>
        </is>
      </c>
      <c r="O88" s="3" t="inlineStr">
        <is>
          <t xml:space="preserve">future plan</t>
        </is>
      </c>
      <c r="P88" t="inlineStr">
        <is>
          <t xml:space="preserve">—</t>
        </is>
      </c>
      <c r="Q88">
        <v>60</v>
      </c>
      <c r="R88" s="3" t="inlineStr">
        <is>
          <t xml:space="preserve">—</t>
        </is>
      </c>
      <c r="S88">
        <f>IF(PROGRESS!$E88="Yes","Xong","Chưa làm")</f>
      </c>
      <c r="T88" s="3" t="inlineStr">
        <is>
          <t xml:space="preserve">CHỜ NẠP TỪ: thiếu 12</t>
        </is>
      </c>
    </row>
    <row r="89">
      <c r="A89">
        <v>88</v>
      </c>
      <c r="B89" s="2">
        <v>46387</v>
      </c>
      <c r="C89">
        <v>13</v>
      </c>
      <c r="D89" t="inlineStr">
        <is>
          <t xml:space="preserve">A2</t>
        </is>
      </c>
      <c r="E89" s="3" t="inlineStr">
        <is>
          <t xml:space="preserve">Future, predictions &amp; plans</t>
        </is>
      </c>
      <c r="F89" t="inlineStr">
        <is>
          <t xml:space="preserve">Speaking drill</t>
        </is>
      </c>
      <c r="G89" t="inlineStr">
        <is>
          <t xml:space="preserve">A2-022</t>
        </is>
      </c>
      <c r="H89" s="3" t="inlineStr">
        <is>
          <t xml:space="preserve">Will vs going to</t>
        </is>
      </c>
      <c r="I89" s="3" t="inlineStr">
        <is>
          <t xml:space="preserve">GA23 Will vs going to</t>
        </is>
      </c>
      <c r="J89" s="3" t="inlineStr">
        <is>
          <t xml:space="preserve">—</t>
        </is>
      </c>
      <c r="K89">
        <v>0</v>
      </c>
      <c r="L89" s="3" t="inlineStr">
        <is>
          <t xml:space="preserve">future audio</t>
        </is>
      </c>
      <c r="M89" s="3" t="inlineStr">
        <is>
          <t xml:space="preserve">make predictions</t>
        </is>
      </c>
      <c r="N89" s="3" t="inlineStr">
        <is>
          <t xml:space="preserve">future article</t>
        </is>
      </c>
      <c r="O89" s="3" t="inlineStr">
        <is>
          <t xml:space="preserve">future plan</t>
        </is>
      </c>
      <c r="P89" t="inlineStr">
        <is>
          <t xml:space="preserve">—</t>
        </is>
      </c>
      <c r="Q89">
        <v>60</v>
      </c>
      <c r="R89" s="3" t="inlineStr">
        <is>
          <t xml:space="preserve">—</t>
        </is>
      </c>
      <c r="S89">
        <f>IF(PROGRESS!$E89="Yes","Xong","Chưa làm")</f>
      </c>
      <c r="T89" s="3" t="inlineStr">
        <is>
          <t xml:space="preserve">CHỜ NẠP TỪ: thiếu 12</t>
        </is>
      </c>
    </row>
    <row r="90">
      <c r="A90">
        <v>89</v>
      </c>
      <c r="B90" s="2">
        <v>46388</v>
      </c>
      <c r="C90">
        <v>13</v>
      </c>
      <c r="D90" t="inlineStr">
        <is>
          <t xml:space="preserve">A2</t>
        </is>
      </c>
      <c r="E90" s="3" t="inlineStr">
        <is>
          <t xml:space="preserve">Future, predictions &amp; plans</t>
        </is>
      </c>
      <c r="F90" t="inlineStr">
        <is>
          <t xml:space="preserve">Reading + vocabulary</t>
        </is>
      </c>
      <c r="G90" t="inlineStr">
        <is>
          <t xml:space="preserve">A2-022</t>
        </is>
      </c>
      <c r="H90" s="3" t="inlineStr">
        <is>
          <t xml:space="preserve">Will vs going to</t>
        </is>
      </c>
      <c r="I90" s="3" t="inlineStr">
        <is>
          <t xml:space="preserve">GA23 Will vs going to</t>
        </is>
      </c>
      <c r="J90" s="3" t="inlineStr">
        <is>
          <t xml:space="preserve">—</t>
        </is>
      </c>
      <c r="K90">
        <v>0</v>
      </c>
      <c r="L90" s="3" t="inlineStr">
        <is>
          <t xml:space="preserve">future audio</t>
        </is>
      </c>
      <c r="M90" s="3" t="inlineStr">
        <is>
          <t xml:space="preserve">make predictions</t>
        </is>
      </c>
      <c r="N90" s="3" t="inlineStr">
        <is>
          <t xml:space="preserve">future article</t>
        </is>
      </c>
      <c r="O90" s="3" t="inlineStr">
        <is>
          <t xml:space="preserve">future plan</t>
        </is>
      </c>
      <c r="P90" t="inlineStr">
        <is>
          <t xml:space="preserve">—</t>
        </is>
      </c>
      <c r="Q90">
        <v>60</v>
      </c>
      <c r="R90" s="3" t="inlineStr">
        <is>
          <t xml:space="preserve">—</t>
        </is>
      </c>
      <c r="S90">
        <f>IF(PROGRESS!$E90="Yes","Xong","Chưa làm")</f>
      </c>
      <c r="T90" s="3" t="inlineStr">
        <is>
          <t xml:space="preserve">CHỜ NẠP TỪ: thiếu 12</t>
        </is>
      </c>
    </row>
    <row r="91">
      <c r="A91">
        <v>90</v>
      </c>
      <c r="B91" s="2">
        <v>46389</v>
      </c>
      <c r="C91">
        <v>13</v>
      </c>
      <c r="D91" t="inlineStr">
        <is>
          <t xml:space="preserve">A2</t>
        </is>
      </c>
      <c r="E91" s="3" t="inlineStr">
        <is>
          <t xml:space="preserve">Future, predictions &amp; plans</t>
        </is>
      </c>
      <c r="F91" t="inlineStr">
        <is>
          <t xml:space="preserve">Writing + correction</t>
        </is>
      </c>
      <c r="G91" t="inlineStr">
        <is>
          <t xml:space="preserve">A2-022</t>
        </is>
      </c>
      <c r="H91" s="3" t="inlineStr">
        <is>
          <t xml:space="preserve">Will vs going to</t>
        </is>
      </c>
      <c r="I91" s="3" t="inlineStr">
        <is>
          <t xml:space="preserve">GA23 Will vs going to</t>
        </is>
      </c>
      <c r="J91" s="3" t="inlineStr">
        <is>
          <t xml:space="preserve">—</t>
        </is>
      </c>
      <c r="K91">
        <v>0</v>
      </c>
      <c r="L91" s="3" t="inlineStr">
        <is>
          <t xml:space="preserve">future audio</t>
        </is>
      </c>
      <c r="M91" s="3" t="inlineStr">
        <is>
          <t xml:space="preserve">make predictions</t>
        </is>
      </c>
      <c r="N91" s="3" t="inlineStr">
        <is>
          <t xml:space="preserve">future article</t>
        </is>
      </c>
      <c r="O91" s="3" t="inlineStr">
        <is>
          <t xml:space="preserve">future plan</t>
        </is>
      </c>
      <c r="P91" t="inlineStr">
        <is>
          <t xml:space="preserve">—</t>
        </is>
      </c>
      <c r="Q91">
        <v>60</v>
      </c>
      <c r="R91" s="3" t="inlineStr">
        <is>
          <t xml:space="preserve">—</t>
        </is>
      </c>
      <c r="S91">
        <f>IF(PROGRESS!$E91="Yes","Xong","Chưa làm")</f>
      </c>
      <c r="T91" s="3" t="inlineStr">
        <is>
          <t xml:space="preserve">CHỜ NẠP TỪ: thiếu 12</t>
        </is>
      </c>
    </row>
    <row r="92">
      <c r="A92">
        <v>91</v>
      </c>
      <c r="B92" s="2">
        <v>46390</v>
      </c>
      <c r="C92">
        <v>13</v>
      </c>
      <c r="D92" t="inlineStr">
        <is>
          <t xml:space="preserve">A2</t>
        </is>
      </c>
      <c r="E92" s="3" t="inlineStr">
        <is>
          <t xml:space="preserve">Future, predictions &amp; plans</t>
        </is>
      </c>
      <c r="F92" t="inlineStr">
        <is>
          <t xml:space="preserve">Weekly review</t>
        </is>
      </c>
      <c r="G92" t="inlineStr">
        <is>
          <t xml:space="preserve">—</t>
        </is>
      </c>
      <c r="H92" s="3" t="inlineStr">
        <is>
          <t xml:space="preserve">Ôn tổng hợp tuần 13</t>
        </is>
      </c>
      <c r="I92" s="3" t="inlineStr">
        <is>
          <t xml:space="preserve">—</t>
        </is>
      </c>
      <c r="J92" s="3" t="inlineStr">
        <is>
          <t xml:space="preserve">—</t>
        </is>
      </c>
      <c r="K92">
        <v>0</v>
      </c>
      <c r="L92" s="3" t="inlineStr">
        <is>
          <t xml:space="preserve">Ôn theo sheet DUE</t>
        </is>
      </c>
      <c r="M92" s="3" t="inlineStr">
        <is>
          <t xml:space="preserve">Nói lại 5 câu của tuần</t>
        </is>
      </c>
      <c r="N92" s="3" t="inlineStr">
        <is>
          <t xml:space="preserve">Đọc lại văn bản tuần</t>
        </is>
      </c>
      <c r="O92" s="3" t="inlineStr">
        <is>
          <t xml:space="preserve">Viết lại đoạn đã sửa</t>
        </is>
      </c>
      <c r="P92" t="inlineStr">
        <is>
          <t xml:space="preserve">—</t>
        </is>
      </c>
      <c r="Q92">
        <v>60</v>
      </c>
      <c r="R92" s="3" t="inlineStr">
        <is>
          <t xml:space="preserve">Test tuần 13</t>
        </is>
      </c>
      <c r="S92">
        <f>IF(PROGRESS!$E92="Yes","Xong","Chưa làm")</f>
      </c>
      <c r="T92" s="3" t="inlineStr">
        <is>
          <t xml:space="preserve">ngày ôn, không thêm từ</t>
        </is>
      </c>
    </row>
    <row r="93">
      <c r="A93">
        <v>92</v>
      </c>
      <c r="B93" s="2">
        <v>46391</v>
      </c>
      <c r="C93">
        <v>14</v>
      </c>
      <c r="D93" t="inlineStr">
        <is>
          <t xml:space="preserve">A2</t>
        </is>
      </c>
      <c r="E93" s="3" t="inlineStr">
        <is>
          <t xml:space="preserve">Conditionals &amp; advice</t>
        </is>
      </c>
      <c r="F93" t="inlineStr">
        <is>
          <t xml:space="preserve">New concept</t>
        </is>
      </c>
      <c r="G93" t="inlineStr">
        <is>
          <t xml:space="preserve">A2-023</t>
        </is>
      </c>
      <c r="H93" s="3" t="inlineStr">
        <is>
          <t xml:space="preserve">First Conditional</t>
        </is>
      </c>
      <c r="I93" s="3" t="inlineStr">
        <is>
          <t xml:space="preserve">GA24 First Conditional</t>
        </is>
      </c>
      <c r="J93" s="3" t="inlineStr">
        <is>
          <t xml:space="preserve">—</t>
        </is>
      </c>
      <c r="K93">
        <v>0</v>
      </c>
      <c r="L93" s="3" t="inlineStr">
        <is>
          <t xml:space="preserve">conditional dialogue</t>
        </is>
      </c>
      <c r="M93" s="3" t="inlineStr">
        <is>
          <t xml:space="preserve">give advice</t>
        </is>
      </c>
      <c r="N93" s="3" t="inlineStr">
        <is>
          <t xml:space="preserve">short article</t>
        </is>
      </c>
      <c r="O93" s="3" t="inlineStr">
        <is>
          <t xml:space="preserve">write advice</t>
        </is>
      </c>
      <c r="P93" t="inlineStr">
        <is>
          <t xml:space="preserve">—</t>
        </is>
      </c>
      <c r="Q93">
        <v>60</v>
      </c>
      <c r="R93" s="3" t="inlineStr">
        <is>
          <t xml:space="preserve">—</t>
        </is>
      </c>
      <c r="S93">
        <f>IF(PROGRESS!$E93="Yes","Xong","Chưa làm")</f>
      </c>
      <c r="T93" s="3" t="inlineStr">
        <is>
          <t xml:space="preserve">CHỜ NẠP TỪ: thiếu 12</t>
        </is>
      </c>
    </row>
    <row r="94">
      <c r="A94">
        <v>93</v>
      </c>
      <c r="B94" s="2">
        <v>46392</v>
      </c>
      <c r="C94">
        <v>14</v>
      </c>
      <c r="D94" t="inlineStr">
        <is>
          <t xml:space="preserve">A2</t>
        </is>
      </c>
      <c r="E94" s="3" t="inlineStr">
        <is>
          <t xml:space="preserve">Conditionals &amp; advice</t>
        </is>
      </c>
      <c r="F94" t="inlineStr">
        <is>
          <t xml:space="preserve">Guided practice</t>
        </is>
      </c>
      <c r="G94" t="inlineStr">
        <is>
          <t xml:space="preserve">A2-023</t>
        </is>
      </c>
      <c r="H94" s="3" t="inlineStr">
        <is>
          <t xml:space="preserve">First Conditional</t>
        </is>
      </c>
      <c r="I94" s="3" t="inlineStr">
        <is>
          <t xml:space="preserve">GA24 First Conditional</t>
        </is>
      </c>
      <c r="J94" s="3" t="inlineStr">
        <is>
          <t xml:space="preserve">—</t>
        </is>
      </c>
      <c r="K94">
        <v>0</v>
      </c>
      <c r="L94" s="3" t="inlineStr">
        <is>
          <t xml:space="preserve">conditional dialogue</t>
        </is>
      </c>
      <c r="M94" s="3" t="inlineStr">
        <is>
          <t xml:space="preserve">give advice</t>
        </is>
      </c>
      <c r="N94" s="3" t="inlineStr">
        <is>
          <t xml:space="preserve">short article</t>
        </is>
      </c>
      <c r="O94" s="3" t="inlineStr">
        <is>
          <t xml:space="preserve">write advice</t>
        </is>
      </c>
      <c r="P94" t="inlineStr">
        <is>
          <t xml:space="preserve">—</t>
        </is>
      </c>
      <c r="Q94">
        <v>60</v>
      </c>
      <c r="R94" s="3" t="inlineStr">
        <is>
          <t xml:space="preserve">—</t>
        </is>
      </c>
      <c r="S94">
        <f>IF(PROGRESS!$E94="Yes","Xong","Chưa làm")</f>
      </c>
      <c r="T94" s="3" t="inlineStr">
        <is>
          <t xml:space="preserve">CHỜ NẠP TỪ: thiếu 12</t>
        </is>
      </c>
    </row>
    <row r="95">
      <c r="A95">
        <v>94</v>
      </c>
      <c r="B95" s="2">
        <v>46393</v>
      </c>
      <c r="C95">
        <v>14</v>
      </c>
      <c r="D95" t="inlineStr">
        <is>
          <t xml:space="preserve">A2</t>
        </is>
      </c>
      <c r="E95" s="3" t="inlineStr">
        <is>
          <t xml:space="preserve">Conditionals &amp; advice</t>
        </is>
      </c>
      <c r="F95" t="inlineStr">
        <is>
          <t xml:space="preserve">Listening + shadowing</t>
        </is>
      </c>
      <c r="G95" t="inlineStr">
        <is>
          <t xml:space="preserve">A2-023</t>
        </is>
      </c>
      <c r="H95" s="3" t="inlineStr">
        <is>
          <t xml:space="preserve">First Conditional</t>
        </is>
      </c>
      <c r="I95" s="3" t="inlineStr">
        <is>
          <t xml:space="preserve">GA24 First Conditional</t>
        </is>
      </c>
      <c r="J95" s="3" t="inlineStr">
        <is>
          <t xml:space="preserve">—</t>
        </is>
      </c>
      <c r="K95">
        <v>0</v>
      </c>
      <c r="L95" s="3" t="inlineStr">
        <is>
          <t xml:space="preserve">conditional dialogue</t>
        </is>
      </c>
      <c r="M95" s="3" t="inlineStr">
        <is>
          <t xml:space="preserve">give advice</t>
        </is>
      </c>
      <c r="N95" s="3" t="inlineStr">
        <is>
          <t xml:space="preserve">short article</t>
        </is>
      </c>
      <c r="O95" s="3" t="inlineStr">
        <is>
          <t xml:space="preserve">write advice</t>
        </is>
      </c>
      <c r="P95" t="inlineStr">
        <is>
          <t xml:space="preserve">—</t>
        </is>
      </c>
      <c r="Q95">
        <v>60</v>
      </c>
      <c r="R95" s="3" t="inlineStr">
        <is>
          <t xml:space="preserve">—</t>
        </is>
      </c>
      <c r="S95">
        <f>IF(PROGRESS!$E95="Yes","Xong","Chưa làm")</f>
      </c>
      <c r="T95" s="3" t="inlineStr">
        <is>
          <t xml:space="preserve">CHỜ NẠP TỪ: thiếu 12</t>
        </is>
      </c>
    </row>
    <row r="96">
      <c r="A96">
        <v>95</v>
      </c>
      <c r="B96" s="2">
        <v>46394</v>
      </c>
      <c r="C96">
        <v>14</v>
      </c>
      <c r="D96" t="inlineStr">
        <is>
          <t xml:space="preserve">A2</t>
        </is>
      </c>
      <c r="E96" s="3" t="inlineStr">
        <is>
          <t xml:space="preserve">Conditionals &amp; advice</t>
        </is>
      </c>
      <c r="F96" t="inlineStr">
        <is>
          <t xml:space="preserve">Speaking drill</t>
        </is>
      </c>
      <c r="G96" t="inlineStr">
        <is>
          <t xml:space="preserve">A2-024</t>
        </is>
      </c>
      <c r="H96" s="3" t="inlineStr">
        <is>
          <t xml:space="preserve">Modal verbs</t>
        </is>
      </c>
      <c r="I96" s="3" t="inlineStr">
        <is>
          <t xml:space="preserve">GA25 Modal verbs: advice &amp; rules</t>
        </is>
      </c>
      <c r="J96" s="3" t="inlineStr">
        <is>
          <t xml:space="preserve">—</t>
        </is>
      </c>
      <c r="K96">
        <v>0</v>
      </c>
      <c r="L96" s="3" t="inlineStr">
        <is>
          <t xml:space="preserve">rule audio</t>
        </is>
      </c>
      <c r="M96" s="3" t="inlineStr">
        <is>
          <t xml:space="preserve">give advice</t>
        </is>
      </c>
      <c r="N96" s="3" t="inlineStr">
        <is>
          <t xml:space="preserve">rules text</t>
        </is>
      </c>
      <c r="O96" s="3" t="inlineStr">
        <is>
          <t xml:space="preserve">write rules</t>
        </is>
      </c>
      <c r="P96" t="inlineStr">
        <is>
          <t xml:space="preserve">—</t>
        </is>
      </c>
      <c r="Q96">
        <v>60</v>
      </c>
      <c r="R96" s="3" t="inlineStr">
        <is>
          <t xml:space="preserve">—</t>
        </is>
      </c>
      <c r="S96">
        <f>IF(PROGRESS!$E96="Yes","Xong","Chưa làm")</f>
      </c>
      <c r="T96" s="3" t="inlineStr">
        <is>
          <t xml:space="preserve">CHỜ NẠP TỪ: thiếu 12</t>
        </is>
      </c>
    </row>
    <row r="97">
      <c r="A97">
        <v>96</v>
      </c>
      <c r="B97" s="2">
        <v>46395</v>
      </c>
      <c r="C97">
        <v>14</v>
      </c>
      <c r="D97" t="inlineStr">
        <is>
          <t xml:space="preserve">A2</t>
        </is>
      </c>
      <c r="E97" s="3" t="inlineStr">
        <is>
          <t xml:space="preserve">Conditionals &amp; advice</t>
        </is>
      </c>
      <c r="F97" t="inlineStr">
        <is>
          <t xml:space="preserve">Reading + vocabulary</t>
        </is>
      </c>
      <c r="G97" t="inlineStr">
        <is>
          <t xml:space="preserve">A2-024</t>
        </is>
      </c>
      <c r="H97" s="3" t="inlineStr">
        <is>
          <t xml:space="preserve">Modal verbs</t>
        </is>
      </c>
      <c r="I97" s="3" t="inlineStr">
        <is>
          <t xml:space="preserve">GA25 Modal verbs: advice &amp; rules</t>
        </is>
      </c>
      <c r="J97" s="3" t="inlineStr">
        <is>
          <t xml:space="preserve">—</t>
        </is>
      </c>
      <c r="K97">
        <v>0</v>
      </c>
      <c r="L97" s="3" t="inlineStr">
        <is>
          <t xml:space="preserve">rule audio</t>
        </is>
      </c>
      <c r="M97" s="3" t="inlineStr">
        <is>
          <t xml:space="preserve">give advice</t>
        </is>
      </c>
      <c r="N97" s="3" t="inlineStr">
        <is>
          <t xml:space="preserve">rules text</t>
        </is>
      </c>
      <c r="O97" s="3" t="inlineStr">
        <is>
          <t xml:space="preserve">write rules</t>
        </is>
      </c>
      <c r="P97" t="inlineStr">
        <is>
          <t xml:space="preserve">—</t>
        </is>
      </c>
      <c r="Q97">
        <v>60</v>
      </c>
      <c r="R97" s="3" t="inlineStr">
        <is>
          <t xml:space="preserve">—</t>
        </is>
      </c>
      <c r="S97">
        <f>IF(PROGRESS!$E97="Yes","Xong","Chưa làm")</f>
      </c>
      <c r="T97" s="3" t="inlineStr">
        <is>
          <t xml:space="preserve">CHỜ NẠP TỪ: thiếu 12</t>
        </is>
      </c>
    </row>
    <row r="98">
      <c r="A98">
        <v>97</v>
      </c>
      <c r="B98" s="2">
        <v>46396</v>
      </c>
      <c r="C98">
        <v>14</v>
      </c>
      <c r="D98" t="inlineStr">
        <is>
          <t xml:space="preserve">A2</t>
        </is>
      </c>
      <c r="E98" s="3" t="inlineStr">
        <is>
          <t xml:space="preserve">Conditionals &amp; advice</t>
        </is>
      </c>
      <c r="F98" t="inlineStr">
        <is>
          <t xml:space="preserve">Writing + correction</t>
        </is>
      </c>
      <c r="G98" t="inlineStr">
        <is>
          <t xml:space="preserve">A2-024</t>
        </is>
      </c>
      <c r="H98" s="3" t="inlineStr">
        <is>
          <t xml:space="preserve">Modal verbs</t>
        </is>
      </c>
      <c r="I98" s="3" t="inlineStr">
        <is>
          <t xml:space="preserve">GA25 Modal verbs: advice &amp; rules</t>
        </is>
      </c>
      <c r="J98" s="3" t="inlineStr">
        <is>
          <t xml:space="preserve">—</t>
        </is>
      </c>
      <c r="K98">
        <v>0</v>
      </c>
      <c r="L98" s="3" t="inlineStr">
        <is>
          <t xml:space="preserve">rule audio</t>
        </is>
      </c>
      <c r="M98" s="3" t="inlineStr">
        <is>
          <t xml:space="preserve">give advice</t>
        </is>
      </c>
      <c r="N98" s="3" t="inlineStr">
        <is>
          <t xml:space="preserve">rules text</t>
        </is>
      </c>
      <c r="O98" s="3" t="inlineStr">
        <is>
          <t xml:space="preserve">write rules</t>
        </is>
      </c>
      <c r="P98" t="inlineStr">
        <is>
          <t xml:space="preserve">—</t>
        </is>
      </c>
      <c r="Q98">
        <v>60</v>
      </c>
      <c r="R98" s="3" t="inlineStr">
        <is>
          <t xml:space="preserve">—</t>
        </is>
      </c>
      <c r="S98">
        <f>IF(PROGRESS!$E98="Yes","Xong","Chưa làm")</f>
      </c>
      <c r="T98" s="3" t="inlineStr">
        <is>
          <t xml:space="preserve">CHỜ NẠP TỪ: thiếu 12</t>
        </is>
      </c>
    </row>
    <row r="99">
      <c r="A99">
        <v>98</v>
      </c>
      <c r="B99" s="2">
        <v>46397</v>
      </c>
      <c r="C99">
        <v>14</v>
      </c>
      <c r="D99" t="inlineStr">
        <is>
          <t xml:space="preserve">A2</t>
        </is>
      </c>
      <c r="E99" s="3" t="inlineStr">
        <is>
          <t xml:space="preserve">Conditionals &amp; advice</t>
        </is>
      </c>
      <c r="F99" t="inlineStr">
        <is>
          <t xml:space="preserve">Weekly review</t>
        </is>
      </c>
      <c r="G99" t="inlineStr">
        <is>
          <t xml:space="preserve">—</t>
        </is>
      </c>
      <c r="H99" s="3" t="inlineStr">
        <is>
          <t xml:space="preserve">Ôn tổng hợp tuần 14</t>
        </is>
      </c>
      <c r="I99" s="3" t="inlineStr">
        <is>
          <t xml:space="preserve">—</t>
        </is>
      </c>
      <c r="J99" s="3" t="inlineStr">
        <is>
          <t xml:space="preserve">—</t>
        </is>
      </c>
      <c r="K99">
        <v>0</v>
      </c>
      <c r="L99" s="3" t="inlineStr">
        <is>
          <t xml:space="preserve">Ôn theo sheet DUE</t>
        </is>
      </c>
      <c r="M99" s="3" t="inlineStr">
        <is>
          <t xml:space="preserve">Nói lại 5 câu của tuần</t>
        </is>
      </c>
      <c r="N99" s="3" t="inlineStr">
        <is>
          <t xml:space="preserve">Đọc lại văn bản tuần</t>
        </is>
      </c>
      <c r="O99" s="3" t="inlineStr">
        <is>
          <t xml:space="preserve">Viết lại đoạn đã sửa</t>
        </is>
      </c>
      <c r="P99" t="inlineStr">
        <is>
          <t xml:space="preserve">—</t>
        </is>
      </c>
      <c r="Q99">
        <v>60</v>
      </c>
      <c r="R99" s="3" t="inlineStr">
        <is>
          <t xml:space="preserve">Test tuần 14</t>
        </is>
      </c>
      <c r="S99">
        <f>IF(PROGRESS!$E99="Yes","Xong","Chưa làm")</f>
      </c>
      <c r="T99" s="3" t="inlineStr">
        <is>
          <t xml:space="preserve">ngày ôn, không thêm từ</t>
        </is>
      </c>
    </row>
    <row r="100">
      <c r="A100">
        <v>99</v>
      </c>
      <c r="B100" s="2">
        <v>46398</v>
      </c>
      <c r="C100">
        <v>15</v>
      </c>
      <c r="D100" t="inlineStr">
        <is>
          <t xml:space="preserve">A2</t>
        </is>
      </c>
      <c r="E100" s="3" t="inlineStr">
        <is>
          <t xml:space="preserve">Passive &amp; processes</t>
        </is>
      </c>
      <c r="F100" t="inlineStr">
        <is>
          <t xml:space="preserve">New concept</t>
        </is>
      </c>
      <c r="G100" t="inlineStr">
        <is>
          <t xml:space="preserve">A2-025</t>
        </is>
      </c>
      <c r="H100" s="3" t="inlineStr">
        <is>
          <t xml:space="preserve">Passive basics</t>
        </is>
      </c>
      <c r="I100" s="3" t="inlineStr">
        <is>
          <t xml:space="preserve">GA26 Passive basics</t>
        </is>
      </c>
      <c r="J100" s="3" t="inlineStr">
        <is>
          <t xml:space="preserve">—</t>
        </is>
      </c>
      <c r="K100">
        <v>0</v>
      </c>
      <c r="L100" s="3" t="inlineStr">
        <is>
          <t xml:space="preserve">process audio</t>
        </is>
      </c>
      <c r="M100" s="3" t="inlineStr">
        <is>
          <t xml:space="preserve">explain a process</t>
        </is>
      </c>
      <c r="N100" s="3" t="inlineStr">
        <is>
          <t xml:space="preserve">process article</t>
        </is>
      </c>
      <c r="O100" s="3" t="inlineStr">
        <is>
          <t xml:space="preserve">process paragraph</t>
        </is>
      </c>
      <c r="P100" t="inlineStr">
        <is>
          <t xml:space="preserve">—</t>
        </is>
      </c>
      <c r="Q100">
        <v>60</v>
      </c>
      <c r="R100" s="3" t="inlineStr">
        <is>
          <t xml:space="preserve">—</t>
        </is>
      </c>
      <c r="S100">
        <f>IF(PROGRESS!$E100="Yes","Xong","Chưa làm")</f>
      </c>
      <c r="T100" s="3" t="inlineStr">
        <is>
          <t xml:space="preserve">CHỜ NẠP TỪ: thiếu 12</t>
        </is>
      </c>
    </row>
    <row r="101">
      <c r="A101">
        <v>100</v>
      </c>
      <c r="B101" s="2">
        <v>46399</v>
      </c>
      <c r="C101">
        <v>15</v>
      </c>
      <c r="D101" t="inlineStr">
        <is>
          <t xml:space="preserve">A2</t>
        </is>
      </c>
      <c r="E101" s="3" t="inlineStr">
        <is>
          <t xml:space="preserve">Passive &amp; processes</t>
        </is>
      </c>
      <c r="F101" t="inlineStr">
        <is>
          <t xml:space="preserve">Guided practice</t>
        </is>
      </c>
      <c r="G101" t="inlineStr">
        <is>
          <t xml:space="preserve">A2-025</t>
        </is>
      </c>
      <c r="H101" s="3" t="inlineStr">
        <is>
          <t xml:space="preserve">Passive basics</t>
        </is>
      </c>
      <c r="I101" s="3" t="inlineStr">
        <is>
          <t xml:space="preserve">GA26 Passive basics</t>
        </is>
      </c>
      <c r="J101" s="3" t="inlineStr">
        <is>
          <t xml:space="preserve">—</t>
        </is>
      </c>
      <c r="K101">
        <v>0</v>
      </c>
      <c r="L101" s="3" t="inlineStr">
        <is>
          <t xml:space="preserve">process audio</t>
        </is>
      </c>
      <c r="M101" s="3" t="inlineStr">
        <is>
          <t xml:space="preserve">explain a process</t>
        </is>
      </c>
      <c r="N101" s="3" t="inlineStr">
        <is>
          <t xml:space="preserve">process article</t>
        </is>
      </c>
      <c r="O101" s="3" t="inlineStr">
        <is>
          <t xml:space="preserve">process paragraph</t>
        </is>
      </c>
      <c r="P101" t="inlineStr">
        <is>
          <t xml:space="preserve">—</t>
        </is>
      </c>
      <c r="Q101">
        <v>60</v>
      </c>
      <c r="R101" s="3" t="inlineStr">
        <is>
          <t xml:space="preserve">—</t>
        </is>
      </c>
      <c r="S101">
        <f>IF(PROGRESS!$E101="Yes","Xong","Chưa làm")</f>
      </c>
      <c r="T101" s="3" t="inlineStr">
        <is>
          <t xml:space="preserve">CHỜ NẠP TỪ: thiếu 12</t>
        </is>
      </c>
    </row>
    <row r="102">
      <c r="A102">
        <v>101</v>
      </c>
      <c r="B102" s="2">
        <v>46400</v>
      </c>
      <c r="C102">
        <v>15</v>
      </c>
      <c r="D102" t="inlineStr">
        <is>
          <t xml:space="preserve">A2</t>
        </is>
      </c>
      <c r="E102" s="3" t="inlineStr">
        <is>
          <t xml:space="preserve">Passive &amp; processes</t>
        </is>
      </c>
      <c r="F102" t="inlineStr">
        <is>
          <t xml:space="preserve">Listening + shadowing</t>
        </is>
      </c>
      <c r="G102" t="inlineStr">
        <is>
          <t xml:space="preserve">A2-025</t>
        </is>
      </c>
      <c r="H102" s="3" t="inlineStr">
        <is>
          <t xml:space="preserve">Passive basics</t>
        </is>
      </c>
      <c r="I102" s="3" t="inlineStr">
        <is>
          <t xml:space="preserve">GA26 Passive basics</t>
        </is>
      </c>
      <c r="J102" s="3" t="inlineStr">
        <is>
          <t xml:space="preserve">—</t>
        </is>
      </c>
      <c r="K102">
        <v>0</v>
      </c>
      <c r="L102" s="3" t="inlineStr">
        <is>
          <t xml:space="preserve">process audio</t>
        </is>
      </c>
      <c r="M102" s="3" t="inlineStr">
        <is>
          <t xml:space="preserve">explain a process</t>
        </is>
      </c>
      <c r="N102" s="3" t="inlineStr">
        <is>
          <t xml:space="preserve">process article</t>
        </is>
      </c>
      <c r="O102" s="3" t="inlineStr">
        <is>
          <t xml:space="preserve">process paragraph</t>
        </is>
      </c>
      <c r="P102" t="inlineStr">
        <is>
          <t xml:space="preserve">—</t>
        </is>
      </c>
      <c r="Q102">
        <v>60</v>
      </c>
      <c r="R102" s="3" t="inlineStr">
        <is>
          <t xml:space="preserve">—</t>
        </is>
      </c>
      <c r="S102">
        <f>IF(PROGRESS!$E102="Yes","Xong","Chưa làm")</f>
      </c>
      <c r="T102" s="3" t="inlineStr">
        <is>
          <t xml:space="preserve">CHỜ NẠP TỪ: thiếu 12</t>
        </is>
      </c>
    </row>
    <row r="103">
      <c r="A103">
        <v>102</v>
      </c>
      <c r="B103" s="2">
        <v>46401</v>
      </c>
      <c r="C103">
        <v>15</v>
      </c>
      <c r="D103" t="inlineStr">
        <is>
          <t xml:space="preserve">A2</t>
        </is>
      </c>
      <c r="E103" s="3" t="inlineStr">
        <is>
          <t xml:space="preserve">Passive &amp; processes</t>
        </is>
      </c>
      <c r="F103" t="inlineStr">
        <is>
          <t xml:space="preserve">Speaking drill</t>
        </is>
      </c>
      <c r="G103" t="inlineStr">
        <is>
          <t xml:space="preserve">A2-025</t>
        </is>
      </c>
      <c r="H103" s="3" t="inlineStr">
        <is>
          <t xml:space="preserve">Passive basics</t>
        </is>
      </c>
      <c r="I103" s="3" t="inlineStr">
        <is>
          <t xml:space="preserve">GA26 Passive basics</t>
        </is>
      </c>
      <c r="J103" s="3" t="inlineStr">
        <is>
          <t xml:space="preserve">—</t>
        </is>
      </c>
      <c r="K103">
        <v>0</v>
      </c>
      <c r="L103" s="3" t="inlineStr">
        <is>
          <t xml:space="preserve">process audio</t>
        </is>
      </c>
      <c r="M103" s="3" t="inlineStr">
        <is>
          <t xml:space="preserve">explain a process</t>
        </is>
      </c>
      <c r="N103" s="3" t="inlineStr">
        <is>
          <t xml:space="preserve">process article</t>
        </is>
      </c>
      <c r="O103" s="3" t="inlineStr">
        <is>
          <t xml:space="preserve">process paragraph</t>
        </is>
      </c>
      <c r="P103" t="inlineStr">
        <is>
          <t xml:space="preserve">—</t>
        </is>
      </c>
      <c r="Q103">
        <v>60</v>
      </c>
      <c r="R103" s="3" t="inlineStr">
        <is>
          <t xml:space="preserve">—</t>
        </is>
      </c>
      <c r="S103">
        <f>IF(PROGRESS!$E103="Yes","Xong","Chưa làm")</f>
      </c>
      <c r="T103" s="3" t="inlineStr">
        <is>
          <t xml:space="preserve">CHỜ NẠP TỪ: thiếu 12</t>
        </is>
      </c>
    </row>
    <row r="104">
      <c r="A104">
        <v>103</v>
      </c>
      <c r="B104" s="2">
        <v>46402</v>
      </c>
      <c r="C104">
        <v>15</v>
      </c>
      <c r="D104" t="inlineStr">
        <is>
          <t xml:space="preserve">A2</t>
        </is>
      </c>
      <c r="E104" s="3" t="inlineStr">
        <is>
          <t xml:space="preserve">Passive &amp; processes</t>
        </is>
      </c>
      <c r="F104" t="inlineStr">
        <is>
          <t xml:space="preserve">Reading + vocabulary</t>
        </is>
      </c>
      <c r="G104" t="inlineStr">
        <is>
          <t xml:space="preserve">A2-025</t>
        </is>
      </c>
      <c r="H104" s="3" t="inlineStr">
        <is>
          <t xml:space="preserve">Passive basics</t>
        </is>
      </c>
      <c r="I104" s="3" t="inlineStr">
        <is>
          <t xml:space="preserve">GA26 Passive basics</t>
        </is>
      </c>
      <c r="J104" s="3" t="inlineStr">
        <is>
          <t xml:space="preserve">—</t>
        </is>
      </c>
      <c r="K104">
        <v>0</v>
      </c>
      <c r="L104" s="3" t="inlineStr">
        <is>
          <t xml:space="preserve">process audio</t>
        </is>
      </c>
      <c r="M104" s="3" t="inlineStr">
        <is>
          <t xml:space="preserve">explain a process</t>
        </is>
      </c>
      <c r="N104" s="3" t="inlineStr">
        <is>
          <t xml:space="preserve">process article</t>
        </is>
      </c>
      <c r="O104" s="3" t="inlineStr">
        <is>
          <t xml:space="preserve">process paragraph</t>
        </is>
      </c>
      <c r="P104" t="inlineStr">
        <is>
          <t xml:space="preserve">—</t>
        </is>
      </c>
      <c r="Q104">
        <v>60</v>
      </c>
      <c r="R104" s="3" t="inlineStr">
        <is>
          <t xml:space="preserve">—</t>
        </is>
      </c>
      <c r="S104">
        <f>IF(PROGRESS!$E104="Yes","Xong","Chưa làm")</f>
      </c>
      <c r="T104" s="3" t="inlineStr">
        <is>
          <t xml:space="preserve">CHỜ NẠP TỪ: thiếu 12</t>
        </is>
      </c>
    </row>
    <row r="105">
      <c r="A105">
        <v>104</v>
      </c>
      <c r="B105" s="2">
        <v>46403</v>
      </c>
      <c r="C105">
        <v>15</v>
      </c>
      <c r="D105" t="inlineStr">
        <is>
          <t xml:space="preserve">A2</t>
        </is>
      </c>
      <c r="E105" s="3" t="inlineStr">
        <is>
          <t xml:space="preserve">Passive &amp; processes</t>
        </is>
      </c>
      <c r="F105" t="inlineStr">
        <is>
          <t xml:space="preserve">Writing + correction</t>
        </is>
      </c>
      <c r="G105" t="inlineStr">
        <is>
          <t xml:space="preserve">A2-025</t>
        </is>
      </c>
      <c r="H105" s="3" t="inlineStr">
        <is>
          <t xml:space="preserve">Passive basics</t>
        </is>
      </c>
      <c r="I105" s="3" t="inlineStr">
        <is>
          <t xml:space="preserve">GA26 Passive basics</t>
        </is>
      </c>
      <c r="J105" s="3" t="inlineStr">
        <is>
          <t xml:space="preserve">—</t>
        </is>
      </c>
      <c r="K105">
        <v>0</v>
      </c>
      <c r="L105" s="3" t="inlineStr">
        <is>
          <t xml:space="preserve">process audio</t>
        </is>
      </c>
      <c r="M105" s="3" t="inlineStr">
        <is>
          <t xml:space="preserve">explain a process</t>
        </is>
      </c>
      <c r="N105" s="3" t="inlineStr">
        <is>
          <t xml:space="preserve">process article</t>
        </is>
      </c>
      <c r="O105" s="3" t="inlineStr">
        <is>
          <t xml:space="preserve">process paragraph</t>
        </is>
      </c>
      <c r="P105" t="inlineStr">
        <is>
          <t xml:space="preserve">—</t>
        </is>
      </c>
      <c r="Q105">
        <v>60</v>
      </c>
      <c r="R105" s="3" t="inlineStr">
        <is>
          <t xml:space="preserve">—</t>
        </is>
      </c>
      <c r="S105">
        <f>IF(PROGRESS!$E105="Yes","Xong","Chưa làm")</f>
      </c>
      <c r="T105" s="3" t="inlineStr">
        <is>
          <t xml:space="preserve">CHỜ NẠP TỪ: thiếu 12</t>
        </is>
      </c>
    </row>
    <row r="106">
      <c r="A106">
        <v>105</v>
      </c>
      <c r="B106" s="2">
        <v>46404</v>
      </c>
      <c r="C106">
        <v>15</v>
      </c>
      <c r="D106" t="inlineStr">
        <is>
          <t xml:space="preserve">A2</t>
        </is>
      </c>
      <c r="E106" s="3" t="inlineStr">
        <is>
          <t xml:space="preserve">Passive &amp; processes</t>
        </is>
      </c>
      <c r="F106" t="inlineStr">
        <is>
          <t xml:space="preserve">Weekly review</t>
        </is>
      </c>
      <c r="G106" t="inlineStr">
        <is>
          <t xml:space="preserve">—</t>
        </is>
      </c>
      <c r="H106" s="3" t="inlineStr">
        <is>
          <t xml:space="preserve">Ôn tổng hợp tuần 15</t>
        </is>
      </c>
      <c r="I106" s="3" t="inlineStr">
        <is>
          <t xml:space="preserve">—</t>
        </is>
      </c>
      <c r="J106" s="3" t="inlineStr">
        <is>
          <t xml:space="preserve">—</t>
        </is>
      </c>
      <c r="K106">
        <v>0</v>
      </c>
      <c r="L106" s="3" t="inlineStr">
        <is>
          <t xml:space="preserve">Ôn theo sheet DUE</t>
        </is>
      </c>
      <c r="M106" s="3" t="inlineStr">
        <is>
          <t xml:space="preserve">Nói lại 5 câu của tuần</t>
        </is>
      </c>
      <c r="N106" s="3" t="inlineStr">
        <is>
          <t xml:space="preserve">Đọc lại văn bản tuần</t>
        </is>
      </c>
      <c r="O106" s="3" t="inlineStr">
        <is>
          <t xml:space="preserve">Viết lại đoạn đã sửa</t>
        </is>
      </c>
      <c r="P106" t="inlineStr">
        <is>
          <t xml:space="preserve">—</t>
        </is>
      </c>
      <c r="Q106">
        <v>60</v>
      </c>
      <c r="R106" s="3" t="inlineStr">
        <is>
          <t xml:space="preserve">Test tuần 15</t>
        </is>
      </c>
      <c r="S106">
        <f>IF(PROGRESS!$E106="Yes","Xong","Chưa làm")</f>
      </c>
      <c r="T106" s="3" t="inlineStr">
        <is>
          <t xml:space="preserve">ngày ôn, không thêm từ</t>
        </is>
      </c>
    </row>
    <row r="107">
      <c r="A107">
        <v>106</v>
      </c>
      <c r="B107" s="2">
        <v>46405</v>
      </c>
      <c r="C107">
        <v>16</v>
      </c>
      <c r="D107" t="inlineStr">
        <is>
          <t xml:space="preserve">A2</t>
        </is>
      </c>
      <c r="E107" s="3" t="inlineStr">
        <is>
          <t xml:space="preserve">Work, study &amp; technology</t>
        </is>
      </c>
      <c r="F107" t="inlineStr">
        <is>
          <t xml:space="preserve">New concept</t>
        </is>
      </c>
      <c r="G107" t="inlineStr">
        <is>
          <t xml:space="preserve">A2-026</t>
        </is>
      </c>
      <c r="H107" s="3" t="inlineStr">
        <is>
          <t xml:space="preserve">Opinions &amp; reasons</t>
        </is>
      </c>
      <c r="I107" s="3" t="inlineStr">
        <is>
          <t xml:space="preserve">GA27 Linking ideas</t>
        </is>
      </c>
      <c r="J107" s="3" t="inlineStr">
        <is>
          <t xml:space="preserve">—</t>
        </is>
      </c>
      <c r="K107">
        <v>0</v>
      </c>
      <c r="L107" s="3" t="inlineStr">
        <is>
          <t xml:space="preserve">discussion</t>
        </is>
      </c>
      <c r="M107" s="3" t="inlineStr">
        <is>
          <t xml:space="preserve">state reasons</t>
        </is>
      </c>
      <c r="N107" s="3" t="inlineStr">
        <is>
          <t xml:space="preserve">opinion text</t>
        </is>
      </c>
      <c r="O107" s="3" t="inlineStr">
        <is>
          <t xml:space="preserve">opinion paragraph</t>
        </is>
      </c>
      <c r="P107" t="inlineStr">
        <is>
          <t xml:space="preserve">—</t>
        </is>
      </c>
      <c r="Q107">
        <v>60</v>
      </c>
      <c r="R107" s="3" t="inlineStr">
        <is>
          <t xml:space="preserve">—</t>
        </is>
      </c>
      <c r="S107">
        <f>IF(PROGRESS!$E107="Yes","Xong","Chưa làm")</f>
      </c>
      <c r="T107" s="3" t="inlineStr">
        <is>
          <t xml:space="preserve">CHỜ NẠP TỪ: thiếu 12</t>
        </is>
      </c>
    </row>
    <row r="108">
      <c r="A108">
        <v>107</v>
      </c>
      <c r="B108" s="2">
        <v>46406</v>
      </c>
      <c r="C108">
        <v>16</v>
      </c>
      <c r="D108" t="inlineStr">
        <is>
          <t xml:space="preserve">A2</t>
        </is>
      </c>
      <c r="E108" s="3" t="inlineStr">
        <is>
          <t xml:space="preserve">Work, study &amp; technology</t>
        </is>
      </c>
      <c r="F108" t="inlineStr">
        <is>
          <t xml:space="preserve">Guided practice</t>
        </is>
      </c>
      <c r="G108" t="inlineStr">
        <is>
          <t xml:space="preserve">A2-026</t>
        </is>
      </c>
      <c r="H108" s="3" t="inlineStr">
        <is>
          <t xml:space="preserve">Opinions &amp; reasons</t>
        </is>
      </c>
      <c r="I108" s="3" t="inlineStr">
        <is>
          <t xml:space="preserve">GA27 Linking ideas</t>
        </is>
      </c>
      <c r="J108" s="3" t="inlineStr">
        <is>
          <t xml:space="preserve">—</t>
        </is>
      </c>
      <c r="K108">
        <v>0</v>
      </c>
      <c r="L108" s="3" t="inlineStr">
        <is>
          <t xml:space="preserve">discussion</t>
        </is>
      </c>
      <c r="M108" s="3" t="inlineStr">
        <is>
          <t xml:space="preserve">state reasons</t>
        </is>
      </c>
      <c r="N108" s="3" t="inlineStr">
        <is>
          <t xml:space="preserve">opinion text</t>
        </is>
      </c>
      <c r="O108" s="3" t="inlineStr">
        <is>
          <t xml:space="preserve">opinion paragraph</t>
        </is>
      </c>
      <c r="P108" t="inlineStr">
        <is>
          <t xml:space="preserve">—</t>
        </is>
      </c>
      <c r="Q108">
        <v>60</v>
      </c>
      <c r="R108" s="3" t="inlineStr">
        <is>
          <t xml:space="preserve">—</t>
        </is>
      </c>
      <c r="S108">
        <f>IF(PROGRESS!$E108="Yes","Xong","Chưa làm")</f>
      </c>
      <c r="T108" s="3" t="inlineStr">
        <is>
          <t xml:space="preserve">CHỜ NẠP TỪ: thiếu 12</t>
        </is>
      </c>
    </row>
    <row r="109">
      <c r="A109">
        <v>108</v>
      </c>
      <c r="B109" s="2">
        <v>46407</v>
      </c>
      <c r="C109">
        <v>16</v>
      </c>
      <c r="D109" t="inlineStr">
        <is>
          <t xml:space="preserve">A2</t>
        </is>
      </c>
      <c r="E109" s="3" t="inlineStr">
        <is>
          <t xml:space="preserve">Work, study &amp; technology</t>
        </is>
      </c>
      <c r="F109" t="inlineStr">
        <is>
          <t xml:space="preserve">Listening + shadowing</t>
        </is>
      </c>
      <c r="G109" t="inlineStr">
        <is>
          <t xml:space="preserve">A2-027</t>
        </is>
      </c>
      <c r="H109" s="3" t="inlineStr">
        <is>
          <t xml:space="preserve">Work &amp; study</t>
        </is>
      </c>
      <c r="I109" s="3" t="inlineStr">
        <is>
          <t xml:space="preserve">GA21 Present Perfect</t>
        </is>
      </c>
      <c r="J109" s="3" t="inlineStr">
        <is>
          <t xml:space="preserve">—</t>
        </is>
      </c>
      <c r="K109">
        <v>0</v>
      </c>
      <c r="L109" s="3" t="inlineStr">
        <is>
          <t xml:space="preserve">work dialogue</t>
        </is>
      </c>
      <c r="M109" s="3" t="inlineStr">
        <is>
          <t xml:space="preserve">talk about work and study</t>
        </is>
      </c>
      <c r="N109" s="3" t="inlineStr">
        <is>
          <t xml:space="preserve">work article</t>
        </is>
      </c>
      <c r="O109" s="3" t="inlineStr">
        <is>
          <t xml:space="preserve">email</t>
        </is>
      </c>
      <c r="P109" t="inlineStr">
        <is>
          <t xml:space="preserve">—</t>
        </is>
      </c>
      <c r="Q109">
        <v>60</v>
      </c>
      <c r="R109" s="3" t="inlineStr">
        <is>
          <t xml:space="preserve">—</t>
        </is>
      </c>
      <c r="S109">
        <f>IF(PROGRESS!$E109="Yes","Xong","Chưa làm")</f>
      </c>
      <c r="T109" s="3" t="inlineStr">
        <is>
          <t xml:space="preserve">CHỜ NẠP TỪ: thiếu 12</t>
        </is>
      </c>
    </row>
    <row r="110">
      <c r="A110">
        <v>109</v>
      </c>
      <c r="B110" s="2">
        <v>46408</v>
      </c>
      <c r="C110">
        <v>16</v>
      </c>
      <c r="D110" t="inlineStr">
        <is>
          <t xml:space="preserve">A2</t>
        </is>
      </c>
      <c r="E110" s="3" t="inlineStr">
        <is>
          <t xml:space="preserve">Work, study &amp; technology</t>
        </is>
      </c>
      <c r="F110" t="inlineStr">
        <is>
          <t xml:space="preserve">Speaking drill</t>
        </is>
      </c>
      <c r="G110" t="inlineStr">
        <is>
          <t xml:space="preserve">A2-027</t>
        </is>
      </c>
      <c r="H110" s="3" t="inlineStr">
        <is>
          <t xml:space="preserve">Work &amp; study</t>
        </is>
      </c>
      <c r="I110" s="3" t="inlineStr">
        <is>
          <t xml:space="preserve">GA21 Present Perfect</t>
        </is>
      </c>
      <c r="J110" s="3" t="inlineStr">
        <is>
          <t xml:space="preserve">—</t>
        </is>
      </c>
      <c r="K110">
        <v>0</v>
      </c>
      <c r="L110" s="3" t="inlineStr">
        <is>
          <t xml:space="preserve">work dialogue</t>
        </is>
      </c>
      <c r="M110" s="3" t="inlineStr">
        <is>
          <t xml:space="preserve">talk about work and study</t>
        </is>
      </c>
      <c r="N110" s="3" t="inlineStr">
        <is>
          <t xml:space="preserve">work article</t>
        </is>
      </c>
      <c r="O110" s="3" t="inlineStr">
        <is>
          <t xml:space="preserve">email</t>
        </is>
      </c>
      <c r="P110" t="inlineStr">
        <is>
          <t xml:space="preserve">—</t>
        </is>
      </c>
      <c r="Q110">
        <v>60</v>
      </c>
      <c r="R110" s="3" t="inlineStr">
        <is>
          <t xml:space="preserve">—</t>
        </is>
      </c>
      <c r="S110">
        <f>IF(PROGRESS!$E110="Yes","Xong","Chưa làm")</f>
      </c>
      <c r="T110" s="3" t="inlineStr">
        <is>
          <t xml:space="preserve">CHỜ NẠP TỪ: thiếu 12</t>
        </is>
      </c>
    </row>
    <row r="111">
      <c r="A111">
        <v>110</v>
      </c>
      <c r="B111" s="2">
        <v>46409</v>
      </c>
      <c r="C111">
        <v>16</v>
      </c>
      <c r="D111" t="inlineStr">
        <is>
          <t xml:space="preserve">A2</t>
        </is>
      </c>
      <c r="E111" s="3" t="inlineStr">
        <is>
          <t xml:space="preserve">Work, study &amp; technology</t>
        </is>
      </c>
      <c r="F111" t="inlineStr">
        <is>
          <t xml:space="preserve">Reading + vocabulary</t>
        </is>
      </c>
      <c r="G111" t="inlineStr">
        <is>
          <t xml:space="preserve">A2-028</t>
        </is>
      </c>
      <c r="H111" s="3" t="inlineStr">
        <is>
          <t xml:space="preserve">Technology</t>
        </is>
      </c>
      <c r="I111" s="3" t="inlineStr">
        <is>
          <t xml:space="preserve">GA26 Passive basics</t>
        </is>
      </c>
      <c r="J111" s="3" t="inlineStr">
        <is>
          <t xml:space="preserve">—</t>
        </is>
      </c>
      <c r="K111">
        <v>0</v>
      </c>
      <c r="L111" s="3" t="inlineStr">
        <is>
          <t xml:space="preserve">tech dialogue</t>
        </is>
      </c>
      <c r="M111" s="3" t="inlineStr">
        <is>
          <t xml:space="preserve">explain how something works</t>
        </is>
      </c>
      <c r="N111" s="3" t="inlineStr">
        <is>
          <t xml:space="preserve">tech article</t>
        </is>
      </c>
      <c r="O111" s="3" t="inlineStr">
        <is>
          <t xml:space="preserve">short review</t>
        </is>
      </c>
      <c r="P111" t="inlineStr">
        <is>
          <t xml:space="preserve">—</t>
        </is>
      </c>
      <c r="Q111">
        <v>60</v>
      </c>
      <c r="R111" s="3" t="inlineStr">
        <is>
          <t xml:space="preserve">—</t>
        </is>
      </c>
      <c r="S111">
        <f>IF(PROGRESS!$E111="Yes","Xong","Chưa làm")</f>
      </c>
      <c r="T111" s="3" t="inlineStr">
        <is>
          <t xml:space="preserve">CHỜ NẠP TỪ: thiếu 12</t>
        </is>
      </c>
    </row>
    <row r="112">
      <c r="A112">
        <v>111</v>
      </c>
      <c r="B112" s="2">
        <v>46410</v>
      </c>
      <c r="C112">
        <v>16</v>
      </c>
      <c r="D112" t="inlineStr">
        <is>
          <t xml:space="preserve">A2</t>
        </is>
      </c>
      <c r="E112" s="3" t="inlineStr">
        <is>
          <t xml:space="preserve">Work, study &amp; technology</t>
        </is>
      </c>
      <c r="F112" t="inlineStr">
        <is>
          <t xml:space="preserve">Writing + correction</t>
        </is>
      </c>
      <c r="G112" t="inlineStr">
        <is>
          <t xml:space="preserve">A2-028</t>
        </is>
      </c>
      <c r="H112" s="3" t="inlineStr">
        <is>
          <t xml:space="preserve">Technology</t>
        </is>
      </c>
      <c r="I112" s="3" t="inlineStr">
        <is>
          <t xml:space="preserve">GA26 Passive basics</t>
        </is>
      </c>
      <c r="J112" s="3" t="inlineStr">
        <is>
          <t xml:space="preserve">—</t>
        </is>
      </c>
      <c r="K112">
        <v>0</v>
      </c>
      <c r="L112" s="3" t="inlineStr">
        <is>
          <t xml:space="preserve">tech dialogue</t>
        </is>
      </c>
      <c r="M112" s="3" t="inlineStr">
        <is>
          <t xml:space="preserve">explain how something works</t>
        </is>
      </c>
      <c r="N112" s="3" t="inlineStr">
        <is>
          <t xml:space="preserve">tech article</t>
        </is>
      </c>
      <c r="O112" s="3" t="inlineStr">
        <is>
          <t xml:space="preserve">short review</t>
        </is>
      </c>
      <c r="P112" t="inlineStr">
        <is>
          <t xml:space="preserve">—</t>
        </is>
      </c>
      <c r="Q112">
        <v>60</v>
      </c>
      <c r="R112" s="3" t="inlineStr">
        <is>
          <t xml:space="preserve">—</t>
        </is>
      </c>
      <c r="S112">
        <f>IF(PROGRESS!$E112="Yes","Xong","Chưa làm")</f>
      </c>
      <c r="T112" s="3" t="inlineStr">
        <is>
          <t xml:space="preserve">CHỜ NẠP TỪ: thiếu 12</t>
        </is>
      </c>
    </row>
    <row r="113">
      <c r="A113">
        <v>112</v>
      </c>
      <c r="B113" s="2">
        <v>46411</v>
      </c>
      <c r="C113">
        <v>16</v>
      </c>
      <c r="D113" t="inlineStr">
        <is>
          <t xml:space="preserve">A2</t>
        </is>
      </c>
      <c r="E113" s="3" t="inlineStr">
        <is>
          <t xml:space="preserve">Work, study &amp; technology</t>
        </is>
      </c>
      <c r="F113" t="inlineStr">
        <is>
          <t xml:space="preserve">Weekly review</t>
        </is>
      </c>
      <c r="G113" t="inlineStr">
        <is>
          <t xml:space="preserve">—</t>
        </is>
      </c>
      <c r="H113" s="3" t="inlineStr">
        <is>
          <t xml:space="preserve">Ôn tổng hợp tuần 16</t>
        </is>
      </c>
      <c r="I113" s="3" t="inlineStr">
        <is>
          <t xml:space="preserve">—</t>
        </is>
      </c>
      <c r="J113" s="3" t="inlineStr">
        <is>
          <t xml:space="preserve">—</t>
        </is>
      </c>
      <c r="K113">
        <v>0</v>
      </c>
      <c r="L113" s="3" t="inlineStr">
        <is>
          <t xml:space="preserve">Ôn theo sheet DUE</t>
        </is>
      </c>
      <c r="M113" s="3" t="inlineStr">
        <is>
          <t xml:space="preserve">Nói lại 5 câu của tuần</t>
        </is>
      </c>
      <c r="N113" s="3" t="inlineStr">
        <is>
          <t xml:space="preserve">Đọc lại văn bản tuần</t>
        </is>
      </c>
      <c r="O113" s="3" t="inlineStr">
        <is>
          <t xml:space="preserve">Viết lại đoạn đã sửa</t>
        </is>
      </c>
      <c r="P113" t="inlineStr">
        <is>
          <t xml:space="preserve">—</t>
        </is>
      </c>
      <c r="Q113">
        <v>60</v>
      </c>
      <c r="R113" s="3" t="inlineStr">
        <is>
          <t xml:space="preserve">Test chốt A2 (mục tiêu 75% + 4 kỹ năng đạt mục tiêu)</t>
        </is>
      </c>
      <c r="S113">
        <f>IF(PROGRESS!$E113="Yes","Xong","Chưa làm")</f>
      </c>
      <c r="T113" s="3" t="inlineStr">
        <is>
          <t xml:space="preserve">ngày ôn, không thêm từ</t>
        </is>
      </c>
    </row>
    <row r="114">
      <c r="A114">
        <v>113</v>
      </c>
      <c r="B114" s="2">
        <v>46412</v>
      </c>
      <c r="C114">
        <v>17</v>
      </c>
      <c r="D114" t="inlineStr">
        <is>
          <t xml:space="preserve">B1</t>
        </is>
      </c>
      <c r="E114" s="3" t="inlineStr">
        <is>
          <t xml:space="preserve">Complex sentences &amp; descriptions</t>
        </is>
      </c>
      <c r="F114" t="inlineStr">
        <is>
          <t xml:space="preserve">New concept</t>
        </is>
      </c>
      <c r="G114" t="inlineStr">
        <is>
          <t xml:space="preserve">B1-029</t>
        </is>
      </c>
      <c r="H114" s="3" t="inlineStr">
        <is>
          <t xml:space="preserve">Relative clauses</t>
        </is>
      </c>
      <c r="I114" s="3" t="inlineStr">
        <is>
          <t xml:space="preserve">GB11 Relative clauses</t>
        </is>
      </c>
      <c r="J114" s="3" t="inlineStr">
        <is>
          <t xml:space="preserve">cur_v013 · cur_v014 · b1_abs_001 · b1_abs_002 · b1_abs_003 · b1_abs_004 · b1_abs_005 · b1_abs_006 · b1_abs_007 · b1_abs_008 · b1_abs_009 · b1_abs_010 · b1_abs_011 · b1_abs_012</t>
        </is>
      </c>
      <c r="K114">
        <v>14</v>
      </c>
      <c r="L114" s="3" t="inlineStr">
        <is>
          <t xml:space="preserve">explanation</t>
        </is>
      </c>
      <c r="M114" s="3" t="inlineStr">
        <is>
          <t xml:space="preserve">describe people and things</t>
        </is>
      </c>
      <c r="N114" s="3" t="inlineStr">
        <is>
          <t xml:space="preserve">article</t>
        </is>
      </c>
      <c r="O114" s="3" t="inlineStr">
        <is>
          <t xml:space="preserve">description</t>
        </is>
      </c>
      <c r="P114" t="inlineStr">
        <is>
          <t xml:space="preserve">—</t>
        </is>
      </c>
      <c r="Q114">
        <v>60</v>
      </c>
      <c r="R114" s="3" t="inlineStr">
        <is>
          <t xml:space="preserve">—</t>
        </is>
      </c>
      <c r="S114">
        <f>IF(PROGRESS!$E114="Yes","Xong","Chưa làm")</f>
      </c>
      <c r="T114" s="3" t="inlineStr">
        <is>
          <t xml:space="preserve">đủ từ</t>
        </is>
      </c>
    </row>
    <row r="115">
      <c r="A115">
        <v>114</v>
      </c>
      <c r="B115" s="2">
        <v>46413</v>
      </c>
      <c r="C115">
        <v>17</v>
      </c>
      <c r="D115" t="inlineStr">
        <is>
          <t xml:space="preserve">B1</t>
        </is>
      </c>
      <c r="E115" s="3" t="inlineStr">
        <is>
          <t xml:space="preserve">Complex sentences &amp; descriptions</t>
        </is>
      </c>
      <c r="F115" t="inlineStr">
        <is>
          <t xml:space="preserve">Guided practice</t>
        </is>
      </c>
      <c r="G115" t="inlineStr">
        <is>
          <t xml:space="preserve">B1-029</t>
        </is>
      </c>
      <c r="H115" s="3" t="inlineStr">
        <is>
          <t xml:space="preserve">Relative clauses</t>
        </is>
      </c>
      <c r="I115" s="3" t="inlineStr">
        <is>
          <t xml:space="preserve">GB11 Relative clauses</t>
        </is>
      </c>
      <c r="J115" s="3" t="inlineStr">
        <is>
          <t xml:space="preserve">b1_work_001 · b1_work_002 · b1_work_003 · b1_work_004 · b1_work_005 · b1_work_006 · b1_work_007 · b1_work_008 · b1_work_009 · b1_work_010 · b1_work_011 · b1_work_012</t>
        </is>
      </c>
      <c r="K115">
        <v>12</v>
      </c>
      <c r="L115" s="3" t="inlineStr">
        <is>
          <t xml:space="preserve">explanation</t>
        </is>
      </c>
      <c r="M115" s="3" t="inlineStr">
        <is>
          <t xml:space="preserve">describe people and things</t>
        </is>
      </c>
      <c r="N115" s="3" t="inlineStr">
        <is>
          <t xml:space="preserve">article</t>
        </is>
      </c>
      <c r="O115" s="3" t="inlineStr">
        <is>
          <t xml:space="preserve">description</t>
        </is>
      </c>
      <c r="P115" t="inlineStr">
        <is>
          <t xml:space="preserve">—</t>
        </is>
      </c>
      <c r="Q115">
        <v>60</v>
      </c>
      <c r="R115" s="3" t="inlineStr">
        <is>
          <t xml:space="preserve">—</t>
        </is>
      </c>
      <c r="S115">
        <f>IF(PROGRESS!$E115="Yes","Xong","Chưa làm")</f>
      </c>
      <c r="T115" s="3" t="inlineStr">
        <is>
          <t xml:space="preserve">CHỜ NẠP TỪ: thiếu 2</t>
        </is>
      </c>
    </row>
    <row r="116">
      <c r="A116">
        <v>115</v>
      </c>
      <c r="B116" s="2">
        <v>46414</v>
      </c>
      <c r="C116">
        <v>17</v>
      </c>
      <c r="D116" t="inlineStr">
        <is>
          <t xml:space="preserve">B1</t>
        </is>
      </c>
      <c r="E116" s="3" t="inlineStr">
        <is>
          <t xml:space="preserve">Complex sentences &amp; descriptions</t>
        </is>
      </c>
      <c r="F116" t="inlineStr">
        <is>
          <t xml:space="preserve">Listening + shadowing</t>
        </is>
      </c>
      <c r="G116" t="inlineStr">
        <is>
          <t xml:space="preserve">B1-029</t>
        </is>
      </c>
      <c r="H116" s="3" t="inlineStr">
        <is>
          <t xml:space="preserve">Relative clauses</t>
        </is>
      </c>
      <c r="I116" s="3" t="inlineStr">
        <is>
          <t xml:space="preserve">GB11 Relative clauses</t>
        </is>
      </c>
      <c r="J116" s="3" t="inlineStr">
        <is>
          <t xml:space="preserve">—</t>
        </is>
      </c>
      <c r="K116">
        <v>0</v>
      </c>
      <c r="L116" s="3" t="inlineStr">
        <is>
          <t xml:space="preserve">explanation</t>
        </is>
      </c>
      <c r="M116" s="3" t="inlineStr">
        <is>
          <t xml:space="preserve">describe people and things</t>
        </is>
      </c>
      <c r="N116" s="3" t="inlineStr">
        <is>
          <t xml:space="preserve">article</t>
        </is>
      </c>
      <c r="O116" s="3" t="inlineStr">
        <is>
          <t xml:space="preserve">description</t>
        </is>
      </c>
      <c r="P116" t="inlineStr">
        <is>
          <t xml:space="preserve">—</t>
        </is>
      </c>
      <c r="Q116">
        <v>60</v>
      </c>
      <c r="R116" s="3" t="inlineStr">
        <is>
          <t xml:space="preserve">—</t>
        </is>
      </c>
      <c r="S116">
        <f>IF(PROGRESS!$E116="Yes","Xong","Chưa làm")</f>
      </c>
      <c r="T116" s="3" t="inlineStr">
        <is>
          <t xml:space="preserve">CHỜ NẠP TỪ: thiếu 14</t>
        </is>
      </c>
    </row>
    <row r="117">
      <c r="A117">
        <v>116</v>
      </c>
      <c r="B117" s="2">
        <v>46415</v>
      </c>
      <c r="C117">
        <v>17</v>
      </c>
      <c r="D117" t="inlineStr">
        <is>
          <t xml:space="preserve">B1</t>
        </is>
      </c>
      <c r="E117" s="3" t="inlineStr">
        <is>
          <t xml:space="preserve">Complex sentences &amp; descriptions</t>
        </is>
      </c>
      <c r="F117" t="inlineStr">
        <is>
          <t xml:space="preserve">Speaking drill</t>
        </is>
      </c>
      <c r="G117" t="inlineStr">
        <is>
          <t xml:space="preserve">B1-029</t>
        </is>
      </c>
      <c r="H117" s="3" t="inlineStr">
        <is>
          <t xml:space="preserve">Relative clauses</t>
        </is>
      </c>
      <c r="I117" s="3" t="inlineStr">
        <is>
          <t xml:space="preserve">GB11 Relative clauses</t>
        </is>
      </c>
      <c r="J117" s="3" t="inlineStr">
        <is>
          <t xml:space="preserve">—</t>
        </is>
      </c>
      <c r="K117">
        <v>0</v>
      </c>
      <c r="L117" s="3" t="inlineStr">
        <is>
          <t xml:space="preserve">explanation</t>
        </is>
      </c>
      <c r="M117" s="3" t="inlineStr">
        <is>
          <t xml:space="preserve">describe people and things</t>
        </is>
      </c>
      <c r="N117" s="3" t="inlineStr">
        <is>
          <t xml:space="preserve">article</t>
        </is>
      </c>
      <c r="O117" s="3" t="inlineStr">
        <is>
          <t xml:space="preserve">description</t>
        </is>
      </c>
      <c r="P117" t="inlineStr">
        <is>
          <t xml:space="preserve">—</t>
        </is>
      </c>
      <c r="Q117">
        <v>60</v>
      </c>
      <c r="R117" s="3" t="inlineStr">
        <is>
          <t xml:space="preserve">—</t>
        </is>
      </c>
      <c r="S117">
        <f>IF(PROGRESS!$E117="Yes","Xong","Chưa làm")</f>
      </c>
      <c r="T117" s="3" t="inlineStr">
        <is>
          <t xml:space="preserve">CHỜ NẠP TỪ: thiếu 14</t>
        </is>
      </c>
    </row>
    <row r="118">
      <c r="A118">
        <v>117</v>
      </c>
      <c r="B118" s="2">
        <v>46416</v>
      </c>
      <c r="C118">
        <v>17</v>
      </c>
      <c r="D118" t="inlineStr">
        <is>
          <t xml:space="preserve">B1</t>
        </is>
      </c>
      <c r="E118" s="3" t="inlineStr">
        <is>
          <t xml:space="preserve">Complex sentences &amp; descriptions</t>
        </is>
      </c>
      <c r="F118" t="inlineStr">
        <is>
          <t xml:space="preserve">Reading + vocabulary</t>
        </is>
      </c>
      <c r="G118" t="inlineStr">
        <is>
          <t xml:space="preserve">B1-029</t>
        </is>
      </c>
      <c r="H118" s="3" t="inlineStr">
        <is>
          <t xml:space="preserve">Relative clauses</t>
        </is>
      </c>
      <c r="I118" s="3" t="inlineStr">
        <is>
          <t xml:space="preserve">GB11 Relative clauses</t>
        </is>
      </c>
      <c r="J118" s="3" t="inlineStr">
        <is>
          <t xml:space="preserve">—</t>
        </is>
      </c>
      <c r="K118">
        <v>0</v>
      </c>
      <c r="L118" s="3" t="inlineStr">
        <is>
          <t xml:space="preserve">explanation</t>
        </is>
      </c>
      <c r="M118" s="3" t="inlineStr">
        <is>
          <t xml:space="preserve">describe people and things</t>
        </is>
      </c>
      <c r="N118" s="3" t="inlineStr">
        <is>
          <t xml:space="preserve">article</t>
        </is>
      </c>
      <c r="O118" s="3" t="inlineStr">
        <is>
          <t xml:space="preserve">description</t>
        </is>
      </c>
      <c r="P118" t="inlineStr">
        <is>
          <t xml:space="preserve">—</t>
        </is>
      </c>
      <c r="Q118">
        <v>60</v>
      </c>
      <c r="R118" s="3" t="inlineStr">
        <is>
          <t xml:space="preserve">—</t>
        </is>
      </c>
      <c r="S118">
        <f>IF(PROGRESS!$E118="Yes","Xong","Chưa làm")</f>
      </c>
      <c r="T118" s="3" t="inlineStr">
        <is>
          <t xml:space="preserve">CHỜ NẠP TỪ: thiếu 14</t>
        </is>
      </c>
    </row>
    <row r="119">
      <c r="A119">
        <v>118</v>
      </c>
      <c r="B119" s="2">
        <v>46417</v>
      </c>
      <c r="C119">
        <v>17</v>
      </c>
      <c r="D119" t="inlineStr">
        <is>
          <t xml:space="preserve">B1</t>
        </is>
      </c>
      <c r="E119" s="3" t="inlineStr">
        <is>
          <t xml:space="preserve">Complex sentences &amp; descriptions</t>
        </is>
      </c>
      <c r="F119" t="inlineStr">
        <is>
          <t xml:space="preserve">Writing + correction</t>
        </is>
      </c>
      <c r="G119" t="inlineStr">
        <is>
          <t xml:space="preserve">B1-029</t>
        </is>
      </c>
      <c r="H119" s="3" t="inlineStr">
        <is>
          <t xml:space="preserve">Relative clauses</t>
        </is>
      </c>
      <c r="I119" s="3" t="inlineStr">
        <is>
          <t xml:space="preserve">GB11 Relative clauses</t>
        </is>
      </c>
      <c r="J119" s="3" t="inlineStr">
        <is>
          <t xml:space="preserve">—</t>
        </is>
      </c>
      <c r="K119">
        <v>0</v>
      </c>
      <c r="L119" s="3" t="inlineStr">
        <is>
          <t xml:space="preserve">explanation</t>
        </is>
      </c>
      <c r="M119" s="3" t="inlineStr">
        <is>
          <t xml:space="preserve">describe people and things</t>
        </is>
      </c>
      <c r="N119" s="3" t="inlineStr">
        <is>
          <t xml:space="preserve">article</t>
        </is>
      </c>
      <c r="O119" s="3" t="inlineStr">
        <is>
          <t xml:space="preserve">description</t>
        </is>
      </c>
      <c r="P119" t="inlineStr">
        <is>
          <t xml:space="preserve">—</t>
        </is>
      </c>
      <c r="Q119">
        <v>60</v>
      </c>
      <c r="R119" s="3" t="inlineStr">
        <is>
          <t xml:space="preserve">—</t>
        </is>
      </c>
      <c r="S119">
        <f>IF(PROGRESS!$E119="Yes","Xong","Chưa làm")</f>
      </c>
      <c r="T119" s="3" t="inlineStr">
        <is>
          <t xml:space="preserve">CHỜ NẠP TỪ: thiếu 14</t>
        </is>
      </c>
    </row>
    <row r="120">
      <c r="A120">
        <v>119</v>
      </c>
      <c r="B120" s="2">
        <v>46418</v>
      </c>
      <c r="C120">
        <v>17</v>
      </c>
      <c r="D120" t="inlineStr">
        <is>
          <t xml:space="preserve">B1</t>
        </is>
      </c>
      <c r="E120" s="3" t="inlineStr">
        <is>
          <t xml:space="preserve">Complex sentences &amp; descriptions</t>
        </is>
      </c>
      <c r="F120" t="inlineStr">
        <is>
          <t xml:space="preserve">Weekly review</t>
        </is>
      </c>
      <c r="G120" t="inlineStr">
        <is>
          <t xml:space="preserve">—</t>
        </is>
      </c>
      <c r="H120" s="3" t="inlineStr">
        <is>
          <t xml:space="preserve">Ôn tổng hợp tuần 17</t>
        </is>
      </c>
      <c r="I120" s="3" t="inlineStr">
        <is>
          <t xml:space="preserve">—</t>
        </is>
      </c>
      <c r="J120" s="3" t="inlineStr">
        <is>
          <t xml:space="preserve">—</t>
        </is>
      </c>
      <c r="K120">
        <v>0</v>
      </c>
      <c r="L120" s="3" t="inlineStr">
        <is>
          <t xml:space="preserve">Ôn theo sheet DUE</t>
        </is>
      </c>
      <c r="M120" s="3" t="inlineStr">
        <is>
          <t xml:space="preserve">Nói lại 5 câu của tuần</t>
        </is>
      </c>
      <c r="N120" s="3" t="inlineStr">
        <is>
          <t xml:space="preserve">Đọc lại văn bản tuần</t>
        </is>
      </c>
      <c r="O120" s="3" t="inlineStr">
        <is>
          <t xml:space="preserve">Viết lại đoạn đã sửa</t>
        </is>
      </c>
      <c r="P120" t="inlineStr">
        <is>
          <t xml:space="preserve">—</t>
        </is>
      </c>
      <c r="Q120">
        <v>60</v>
      </c>
      <c r="R120" s="3" t="inlineStr">
        <is>
          <t xml:space="preserve">Test tuần 17</t>
        </is>
      </c>
      <c r="S120">
        <f>IF(PROGRESS!$E120="Yes","Xong","Chưa làm")</f>
      </c>
      <c r="T120" s="3" t="inlineStr">
        <is>
          <t xml:space="preserve">ngày ôn, không thêm từ</t>
        </is>
      </c>
    </row>
    <row r="121">
      <c r="A121">
        <v>120</v>
      </c>
      <c r="B121" s="2">
        <v>46419</v>
      </c>
      <c r="C121">
        <v>18</v>
      </c>
      <c r="D121" t="inlineStr">
        <is>
          <t xml:space="preserve">B1</t>
        </is>
      </c>
      <c r="E121" s="3" t="inlineStr">
        <is>
          <t xml:space="preserve">Reported speech &amp; communication</t>
        </is>
      </c>
      <c r="F121" t="inlineStr">
        <is>
          <t xml:space="preserve">New concept</t>
        </is>
      </c>
      <c r="G121" t="inlineStr">
        <is>
          <t xml:space="preserve">B1-030</t>
        </is>
      </c>
      <c r="H121" s="3" t="inlineStr">
        <is>
          <t xml:space="preserve">Reported speech</t>
        </is>
      </c>
      <c r="I121" s="3" t="inlineStr">
        <is>
          <t xml:space="preserve">GB12 Reported speech</t>
        </is>
      </c>
      <c r="J121" s="3" t="inlineStr">
        <is>
          <t xml:space="preserve">—</t>
        </is>
      </c>
      <c r="K121">
        <v>0</v>
      </c>
      <c r="L121" s="3" t="inlineStr">
        <is>
          <t xml:space="preserve">news dialogue</t>
        </is>
      </c>
      <c r="M121" s="3" t="inlineStr">
        <is>
          <t xml:space="preserve">report information</t>
        </is>
      </c>
      <c r="N121" s="3" t="inlineStr">
        <is>
          <t xml:space="preserve">news article</t>
        </is>
      </c>
      <c r="O121" s="3" t="inlineStr">
        <is>
          <t xml:space="preserve">reported summary</t>
        </is>
      </c>
      <c r="P121" t="inlineStr">
        <is>
          <t xml:space="preserve">—</t>
        </is>
      </c>
      <c r="Q121">
        <v>60</v>
      </c>
      <c r="R121" s="3" t="inlineStr">
        <is>
          <t xml:space="preserve">—</t>
        </is>
      </c>
      <c r="S121">
        <f>IF(PROGRESS!$E121="Yes","Xong","Chưa làm")</f>
      </c>
      <c r="T121" s="3" t="inlineStr">
        <is>
          <t xml:space="preserve">CHỜ NẠP TỪ: thiếu 14</t>
        </is>
      </c>
    </row>
    <row r="122">
      <c r="A122">
        <v>121</v>
      </c>
      <c r="B122" s="2">
        <v>46420</v>
      </c>
      <c r="C122">
        <v>18</v>
      </c>
      <c r="D122" t="inlineStr">
        <is>
          <t xml:space="preserve">B1</t>
        </is>
      </c>
      <c r="E122" s="3" t="inlineStr">
        <is>
          <t xml:space="preserve">Reported speech &amp; communication</t>
        </is>
      </c>
      <c r="F122" t="inlineStr">
        <is>
          <t xml:space="preserve">Guided practice</t>
        </is>
      </c>
      <c r="G122" t="inlineStr">
        <is>
          <t xml:space="preserve">B1-030</t>
        </is>
      </c>
      <c r="H122" s="3" t="inlineStr">
        <is>
          <t xml:space="preserve">Reported speech</t>
        </is>
      </c>
      <c r="I122" s="3" t="inlineStr">
        <is>
          <t xml:space="preserve">GB12 Reported speech</t>
        </is>
      </c>
      <c r="J122" s="3" t="inlineStr">
        <is>
          <t xml:space="preserve">—</t>
        </is>
      </c>
      <c r="K122">
        <v>0</v>
      </c>
      <c r="L122" s="3" t="inlineStr">
        <is>
          <t xml:space="preserve">news dialogue</t>
        </is>
      </c>
      <c r="M122" s="3" t="inlineStr">
        <is>
          <t xml:space="preserve">report information</t>
        </is>
      </c>
      <c r="N122" s="3" t="inlineStr">
        <is>
          <t xml:space="preserve">news article</t>
        </is>
      </c>
      <c r="O122" s="3" t="inlineStr">
        <is>
          <t xml:space="preserve">reported summary</t>
        </is>
      </c>
      <c r="P122" t="inlineStr">
        <is>
          <t xml:space="preserve">—</t>
        </is>
      </c>
      <c r="Q122">
        <v>60</v>
      </c>
      <c r="R122" s="3" t="inlineStr">
        <is>
          <t xml:space="preserve">—</t>
        </is>
      </c>
      <c r="S122">
        <f>IF(PROGRESS!$E122="Yes","Xong","Chưa làm")</f>
      </c>
      <c r="T122" s="3" t="inlineStr">
        <is>
          <t xml:space="preserve">CHỜ NẠP TỪ: thiếu 14</t>
        </is>
      </c>
    </row>
    <row r="123">
      <c r="A123">
        <v>122</v>
      </c>
      <c r="B123" s="2">
        <v>46421</v>
      </c>
      <c r="C123">
        <v>18</v>
      </c>
      <c r="D123" t="inlineStr">
        <is>
          <t xml:space="preserve">B1</t>
        </is>
      </c>
      <c r="E123" s="3" t="inlineStr">
        <is>
          <t xml:space="preserve">Reported speech &amp; communication</t>
        </is>
      </c>
      <c r="F123" t="inlineStr">
        <is>
          <t xml:space="preserve">Listening + shadowing</t>
        </is>
      </c>
      <c r="G123" t="inlineStr">
        <is>
          <t xml:space="preserve">B1-030</t>
        </is>
      </c>
      <c r="H123" s="3" t="inlineStr">
        <is>
          <t xml:space="preserve">Reported speech</t>
        </is>
      </c>
      <c r="I123" s="3" t="inlineStr">
        <is>
          <t xml:space="preserve">GB12 Reported speech</t>
        </is>
      </c>
      <c r="J123" s="3" t="inlineStr">
        <is>
          <t xml:space="preserve">—</t>
        </is>
      </c>
      <c r="K123">
        <v>0</v>
      </c>
      <c r="L123" s="3" t="inlineStr">
        <is>
          <t xml:space="preserve">news dialogue</t>
        </is>
      </c>
      <c r="M123" s="3" t="inlineStr">
        <is>
          <t xml:space="preserve">report information</t>
        </is>
      </c>
      <c r="N123" s="3" t="inlineStr">
        <is>
          <t xml:space="preserve">news article</t>
        </is>
      </c>
      <c r="O123" s="3" t="inlineStr">
        <is>
          <t xml:space="preserve">reported summary</t>
        </is>
      </c>
      <c r="P123" t="inlineStr">
        <is>
          <t xml:space="preserve">—</t>
        </is>
      </c>
      <c r="Q123">
        <v>60</v>
      </c>
      <c r="R123" s="3" t="inlineStr">
        <is>
          <t xml:space="preserve">—</t>
        </is>
      </c>
      <c r="S123">
        <f>IF(PROGRESS!$E123="Yes","Xong","Chưa làm")</f>
      </c>
      <c r="T123" s="3" t="inlineStr">
        <is>
          <t xml:space="preserve">CHỜ NẠP TỪ: thiếu 14</t>
        </is>
      </c>
    </row>
    <row r="124">
      <c r="A124">
        <v>123</v>
      </c>
      <c r="B124" s="2">
        <v>46422</v>
      </c>
      <c r="C124">
        <v>18</v>
      </c>
      <c r="D124" t="inlineStr">
        <is>
          <t xml:space="preserve">B1</t>
        </is>
      </c>
      <c r="E124" s="3" t="inlineStr">
        <is>
          <t xml:space="preserve">Reported speech &amp; communication</t>
        </is>
      </c>
      <c r="F124" t="inlineStr">
        <is>
          <t xml:space="preserve">Speaking drill</t>
        </is>
      </c>
      <c r="G124" t="inlineStr">
        <is>
          <t xml:space="preserve">B1-030</t>
        </is>
      </c>
      <c r="H124" s="3" t="inlineStr">
        <is>
          <t xml:space="preserve">Reported speech</t>
        </is>
      </c>
      <c r="I124" s="3" t="inlineStr">
        <is>
          <t xml:space="preserve">GB12 Reported speech</t>
        </is>
      </c>
      <c r="J124" s="3" t="inlineStr">
        <is>
          <t xml:space="preserve">—</t>
        </is>
      </c>
      <c r="K124">
        <v>0</v>
      </c>
      <c r="L124" s="3" t="inlineStr">
        <is>
          <t xml:space="preserve">news dialogue</t>
        </is>
      </c>
      <c r="M124" s="3" t="inlineStr">
        <is>
          <t xml:space="preserve">report information</t>
        </is>
      </c>
      <c r="N124" s="3" t="inlineStr">
        <is>
          <t xml:space="preserve">news article</t>
        </is>
      </c>
      <c r="O124" s="3" t="inlineStr">
        <is>
          <t xml:space="preserve">reported summary</t>
        </is>
      </c>
      <c r="P124" t="inlineStr">
        <is>
          <t xml:space="preserve">—</t>
        </is>
      </c>
      <c r="Q124">
        <v>60</v>
      </c>
      <c r="R124" s="3" t="inlineStr">
        <is>
          <t xml:space="preserve">—</t>
        </is>
      </c>
      <c r="S124">
        <f>IF(PROGRESS!$E124="Yes","Xong","Chưa làm")</f>
      </c>
      <c r="T124" s="3" t="inlineStr">
        <is>
          <t xml:space="preserve">CHỜ NẠP TỪ: thiếu 14</t>
        </is>
      </c>
    </row>
    <row r="125">
      <c r="A125">
        <v>124</v>
      </c>
      <c r="B125" s="2">
        <v>46423</v>
      </c>
      <c r="C125">
        <v>18</v>
      </c>
      <c r="D125" t="inlineStr">
        <is>
          <t xml:space="preserve">B1</t>
        </is>
      </c>
      <c r="E125" s="3" t="inlineStr">
        <is>
          <t xml:space="preserve">Reported speech &amp; communication</t>
        </is>
      </c>
      <c r="F125" t="inlineStr">
        <is>
          <t xml:space="preserve">Reading + vocabulary</t>
        </is>
      </c>
      <c r="G125" t="inlineStr">
        <is>
          <t xml:space="preserve">B1-030</t>
        </is>
      </c>
      <c r="H125" s="3" t="inlineStr">
        <is>
          <t xml:space="preserve">Reported speech</t>
        </is>
      </c>
      <c r="I125" s="3" t="inlineStr">
        <is>
          <t xml:space="preserve">GB12 Reported speech</t>
        </is>
      </c>
      <c r="J125" s="3" t="inlineStr">
        <is>
          <t xml:space="preserve">—</t>
        </is>
      </c>
      <c r="K125">
        <v>0</v>
      </c>
      <c r="L125" s="3" t="inlineStr">
        <is>
          <t xml:space="preserve">news dialogue</t>
        </is>
      </c>
      <c r="M125" s="3" t="inlineStr">
        <is>
          <t xml:space="preserve">report information</t>
        </is>
      </c>
      <c r="N125" s="3" t="inlineStr">
        <is>
          <t xml:space="preserve">news article</t>
        </is>
      </c>
      <c r="O125" s="3" t="inlineStr">
        <is>
          <t xml:space="preserve">reported summary</t>
        </is>
      </c>
      <c r="P125" t="inlineStr">
        <is>
          <t xml:space="preserve">—</t>
        </is>
      </c>
      <c r="Q125">
        <v>60</v>
      </c>
      <c r="R125" s="3" t="inlineStr">
        <is>
          <t xml:space="preserve">—</t>
        </is>
      </c>
      <c r="S125">
        <f>IF(PROGRESS!$E125="Yes","Xong","Chưa làm")</f>
      </c>
      <c r="T125" s="3" t="inlineStr">
        <is>
          <t xml:space="preserve">CHỜ NẠP TỪ: thiếu 14</t>
        </is>
      </c>
    </row>
    <row r="126">
      <c r="A126">
        <v>125</v>
      </c>
      <c r="B126" s="2">
        <v>46424</v>
      </c>
      <c r="C126">
        <v>18</v>
      </c>
      <c r="D126" t="inlineStr">
        <is>
          <t xml:space="preserve">B1</t>
        </is>
      </c>
      <c r="E126" s="3" t="inlineStr">
        <is>
          <t xml:space="preserve">Reported speech &amp; communication</t>
        </is>
      </c>
      <c r="F126" t="inlineStr">
        <is>
          <t xml:space="preserve">Writing + correction</t>
        </is>
      </c>
      <c r="G126" t="inlineStr">
        <is>
          <t xml:space="preserve">B1-030</t>
        </is>
      </c>
      <c r="H126" s="3" t="inlineStr">
        <is>
          <t xml:space="preserve">Reported speech</t>
        </is>
      </c>
      <c r="I126" s="3" t="inlineStr">
        <is>
          <t xml:space="preserve">GB12 Reported speech</t>
        </is>
      </c>
      <c r="J126" s="3" t="inlineStr">
        <is>
          <t xml:space="preserve">—</t>
        </is>
      </c>
      <c r="K126">
        <v>0</v>
      </c>
      <c r="L126" s="3" t="inlineStr">
        <is>
          <t xml:space="preserve">news dialogue</t>
        </is>
      </c>
      <c r="M126" s="3" t="inlineStr">
        <is>
          <t xml:space="preserve">report information</t>
        </is>
      </c>
      <c r="N126" s="3" t="inlineStr">
        <is>
          <t xml:space="preserve">news article</t>
        </is>
      </c>
      <c r="O126" s="3" t="inlineStr">
        <is>
          <t xml:space="preserve">reported summary</t>
        </is>
      </c>
      <c r="P126" t="inlineStr">
        <is>
          <t xml:space="preserve">—</t>
        </is>
      </c>
      <c r="Q126">
        <v>60</v>
      </c>
      <c r="R126" s="3" t="inlineStr">
        <is>
          <t xml:space="preserve">—</t>
        </is>
      </c>
      <c r="S126">
        <f>IF(PROGRESS!$E126="Yes","Xong","Chưa làm")</f>
      </c>
      <c r="T126" s="3" t="inlineStr">
        <is>
          <t xml:space="preserve">CHỜ NẠP TỪ: thiếu 14</t>
        </is>
      </c>
    </row>
    <row r="127">
      <c r="A127">
        <v>126</v>
      </c>
      <c r="B127" s="2">
        <v>46425</v>
      </c>
      <c r="C127">
        <v>18</v>
      </c>
      <c r="D127" t="inlineStr">
        <is>
          <t xml:space="preserve">B1</t>
        </is>
      </c>
      <c r="E127" s="3" t="inlineStr">
        <is>
          <t xml:space="preserve">Reported speech &amp; communication</t>
        </is>
      </c>
      <c r="F127" t="inlineStr">
        <is>
          <t xml:space="preserve">Weekly review</t>
        </is>
      </c>
      <c r="G127" t="inlineStr">
        <is>
          <t xml:space="preserve">—</t>
        </is>
      </c>
      <c r="H127" s="3" t="inlineStr">
        <is>
          <t xml:space="preserve">Ôn tổng hợp tuần 18</t>
        </is>
      </c>
      <c r="I127" s="3" t="inlineStr">
        <is>
          <t xml:space="preserve">—</t>
        </is>
      </c>
      <c r="J127" s="3" t="inlineStr">
        <is>
          <t xml:space="preserve">—</t>
        </is>
      </c>
      <c r="K127">
        <v>0</v>
      </c>
      <c r="L127" s="3" t="inlineStr">
        <is>
          <t xml:space="preserve">Ôn theo sheet DUE</t>
        </is>
      </c>
      <c r="M127" s="3" t="inlineStr">
        <is>
          <t xml:space="preserve">Nói lại 5 câu của tuần</t>
        </is>
      </c>
      <c r="N127" s="3" t="inlineStr">
        <is>
          <t xml:space="preserve">Đọc lại văn bản tuần</t>
        </is>
      </c>
      <c r="O127" s="3" t="inlineStr">
        <is>
          <t xml:space="preserve">Viết lại đoạn đã sửa</t>
        </is>
      </c>
      <c r="P127" t="inlineStr">
        <is>
          <t xml:space="preserve">—</t>
        </is>
      </c>
      <c r="Q127">
        <v>60</v>
      </c>
      <c r="R127" s="3" t="inlineStr">
        <is>
          <t xml:space="preserve">Test tuần 18</t>
        </is>
      </c>
      <c r="S127">
        <f>IF(PROGRESS!$E127="Yes","Xong","Chưa làm")</f>
      </c>
      <c r="T127" s="3" t="inlineStr">
        <is>
          <t xml:space="preserve">ngày ôn, không thêm từ</t>
        </is>
      </c>
    </row>
    <row r="128">
      <c r="A128">
        <v>127</v>
      </c>
      <c r="B128" s="2">
        <v>46426</v>
      </c>
      <c r="C128">
        <v>19</v>
      </c>
      <c r="D128" t="inlineStr">
        <is>
          <t xml:space="preserve">B1</t>
        </is>
      </c>
      <c r="E128" s="3" t="inlineStr">
        <is>
          <t xml:space="preserve">Opinions &amp; hypothetical situations</t>
        </is>
      </c>
      <c r="F128" t="inlineStr">
        <is>
          <t xml:space="preserve">New concept</t>
        </is>
      </c>
      <c r="G128" t="inlineStr">
        <is>
          <t xml:space="preserve">B1-031</t>
        </is>
      </c>
      <c r="H128" s="3" t="inlineStr">
        <is>
          <t xml:space="preserve">Second Conditional</t>
        </is>
      </c>
      <c r="I128" s="3" t="inlineStr">
        <is>
          <t xml:space="preserve">GB13 Second Conditional</t>
        </is>
      </c>
      <c r="J128" s="3" t="inlineStr">
        <is>
          <t xml:space="preserve">—</t>
        </is>
      </c>
      <c r="K128">
        <v>0</v>
      </c>
      <c r="L128" s="3" t="inlineStr">
        <is>
          <t xml:space="preserve">discussion</t>
        </is>
      </c>
      <c r="M128" s="3" t="inlineStr">
        <is>
          <t xml:space="preserve">discuss scenarios</t>
        </is>
      </c>
      <c r="N128" s="3" t="inlineStr">
        <is>
          <t xml:space="preserve">opinion article</t>
        </is>
      </c>
      <c r="O128" s="3" t="inlineStr">
        <is>
          <t xml:space="preserve">argument paragraph</t>
        </is>
      </c>
      <c r="P128" t="inlineStr">
        <is>
          <t xml:space="preserve">—</t>
        </is>
      </c>
      <c r="Q128">
        <v>60</v>
      </c>
      <c r="R128" s="3" t="inlineStr">
        <is>
          <t xml:space="preserve">—</t>
        </is>
      </c>
      <c r="S128">
        <f>IF(PROGRESS!$E128="Yes","Xong","Chưa làm")</f>
      </c>
      <c r="T128" s="3" t="inlineStr">
        <is>
          <t xml:space="preserve">CHỜ NẠP TỪ: thiếu 14</t>
        </is>
      </c>
    </row>
    <row r="129">
      <c r="A129">
        <v>128</v>
      </c>
      <c r="B129" s="2">
        <v>46427</v>
      </c>
      <c r="C129">
        <v>19</v>
      </c>
      <c r="D129" t="inlineStr">
        <is>
          <t xml:space="preserve">B1</t>
        </is>
      </c>
      <c r="E129" s="3" t="inlineStr">
        <is>
          <t xml:space="preserve">Opinions &amp; hypothetical situations</t>
        </is>
      </c>
      <c r="F129" t="inlineStr">
        <is>
          <t xml:space="preserve">Guided practice</t>
        </is>
      </c>
      <c r="G129" t="inlineStr">
        <is>
          <t xml:space="preserve">B1-031</t>
        </is>
      </c>
      <c r="H129" s="3" t="inlineStr">
        <is>
          <t xml:space="preserve">Second Conditional</t>
        </is>
      </c>
      <c r="I129" s="3" t="inlineStr">
        <is>
          <t xml:space="preserve">GB13 Second Conditional</t>
        </is>
      </c>
      <c r="J129" s="3" t="inlineStr">
        <is>
          <t xml:space="preserve">—</t>
        </is>
      </c>
      <c r="K129">
        <v>0</v>
      </c>
      <c r="L129" s="3" t="inlineStr">
        <is>
          <t xml:space="preserve">discussion</t>
        </is>
      </c>
      <c r="M129" s="3" t="inlineStr">
        <is>
          <t xml:space="preserve">discuss scenarios</t>
        </is>
      </c>
      <c r="N129" s="3" t="inlineStr">
        <is>
          <t xml:space="preserve">opinion article</t>
        </is>
      </c>
      <c r="O129" s="3" t="inlineStr">
        <is>
          <t xml:space="preserve">argument paragraph</t>
        </is>
      </c>
      <c r="P129" t="inlineStr">
        <is>
          <t xml:space="preserve">—</t>
        </is>
      </c>
      <c r="Q129">
        <v>60</v>
      </c>
      <c r="R129" s="3" t="inlineStr">
        <is>
          <t xml:space="preserve">—</t>
        </is>
      </c>
      <c r="S129">
        <f>IF(PROGRESS!$E129="Yes","Xong","Chưa làm")</f>
      </c>
      <c r="T129" s="3" t="inlineStr">
        <is>
          <t xml:space="preserve">CHỜ NẠP TỪ: thiếu 14</t>
        </is>
      </c>
    </row>
    <row r="130">
      <c r="A130">
        <v>129</v>
      </c>
      <c r="B130" s="2">
        <v>46428</v>
      </c>
      <c r="C130">
        <v>19</v>
      </c>
      <c r="D130" t="inlineStr">
        <is>
          <t xml:space="preserve">B1</t>
        </is>
      </c>
      <c r="E130" s="3" t="inlineStr">
        <is>
          <t xml:space="preserve">Opinions &amp; hypothetical situations</t>
        </is>
      </c>
      <c r="F130" t="inlineStr">
        <is>
          <t xml:space="preserve">Listening + shadowing</t>
        </is>
      </c>
      <c r="G130" t="inlineStr">
        <is>
          <t xml:space="preserve">B1-031</t>
        </is>
      </c>
      <c r="H130" s="3" t="inlineStr">
        <is>
          <t xml:space="preserve">Second Conditional</t>
        </is>
      </c>
      <c r="I130" s="3" t="inlineStr">
        <is>
          <t xml:space="preserve">GB13 Second Conditional</t>
        </is>
      </c>
      <c r="J130" s="3" t="inlineStr">
        <is>
          <t xml:space="preserve">—</t>
        </is>
      </c>
      <c r="K130">
        <v>0</v>
      </c>
      <c r="L130" s="3" t="inlineStr">
        <is>
          <t xml:space="preserve">discussion</t>
        </is>
      </c>
      <c r="M130" s="3" t="inlineStr">
        <is>
          <t xml:space="preserve">discuss scenarios</t>
        </is>
      </c>
      <c r="N130" s="3" t="inlineStr">
        <is>
          <t xml:space="preserve">opinion article</t>
        </is>
      </c>
      <c r="O130" s="3" t="inlineStr">
        <is>
          <t xml:space="preserve">argument paragraph</t>
        </is>
      </c>
      <c r="P130" t="inlineStr">
        <is>
          <t xml:space="preserve">—</t>
        </is>
      </c>
      <c r="Q130">
        <v>60</v>
      </c>
      <c r="R130" s="3" t="inlineStr">
        <is>
          <t xml:space="preserve">—</t>
        </is>
      </c>
      <c r="S130">
        <f>IF(PROGRESS!$E130="Yes","Xong","Chưa làm")</f>
      </c>
      <c r="T130" s="3" t="inlineStr">
        <is>
          <t xml:space="preserve">CHỜ NẠP TỪ: thiếu 14</t>
        </is>
      </c>
    </row>
    <row r="131">
      <c r="A131">
        <v>130</v>
      </c>
      <c r="B131" s="2">
        <v>46429</v>
      </c>
      <c r="C131">
        <v>19</v>
      </c>
      <c r="D131" t="inlineStr">
        <is>
          <t xml:space="preserve">B1</t>
        </is>
      </c>
      <c r="E131" s="3" t="inlineStr">
        <is>
          <t xml:space="preserve">Opinions &amp; hypothetical situations</t>
        </is>
      </c>
      <c r="F131" t="inlineStr">
        <is>
          <t xml:space="preserve">Speaking drill</t>
        </is>
      </c>
      <c r="G131" t="inlineStr">
        <is>
          <t xml:space="preserve">B1-032</t>
        </is>
      </c>
      <c r="H131" s="3" t="inlineStr">
        <is>
          <t xml:space="preserve">Gerunds &amp; infinitives</t>
        </is>
      </c>
      <c r="I131" s="3" t="inlineStr">
        <is>
          <t xml:space="preserve">GB14 Gerunds &amp; infinitives</t>
        </is>
      </c>
      <c r="J131" s="3" t="inlineStr">
        <is>
          <t xml:space="preserve">—</t>
        </is>
      </c>
      <c r="K131">
        <v>0</v>
      </c>
      <c r="L131" s="3" t="inlineStr">
        <is>
          <t xml:space="preserve">learning talk</t>
        </is>
      </c>
      <c r="M131" s="3" t="inlineStr">
        <is>
          <t xml:space="preserve">talk about preferences</t>
        </is>
      </c>
      <c r="N131" s="3" t="inlineStr">
        <is>
          <t xml:space="preserve">study text</t>
        </is>
      </c>
      <c r="O131" s="3" t="inlineStr">
        <is>
          <t xml:space="preserve">learning plan</t>
        </is>
      </c>
      <c r="P131" t="inlineStr">
        <is>
          <t xml:space="preserve">—</t>
        </is>
      </c>
      <c r="Q131">
        <v>60</v>
      </c>
      <c r="R131" s="3" t="inlineStr">
        <is>
          <t xml:space="preserve">—</t>
        </is>
      </c>
      <c r="S131">
        <f>IF(PROGRESS!$E131="Yes","Xong","Chưa làm")</f>
      </c>
      <c r="T131" s="3" t="inlineStr">
        <is>
          <t xml:space="preserve">CHỜ NẠP TỪ: thiếu 14</t>
        </is>
      </c>
    </row>
    <row r="132">
      <c r="A132">
        <v>131</v>
      </c>
      <c r="B132" s="2">
        <v>46430</v>
      </c>
      <c r="C132">
        <v>19</v>
      </c>
      <c r="D132" t="inlineStr">
        <is>
          <t xml:space="preserve">B1</t>
        </is>
      </c>
      <c r="E132" s="3" t="inlineStr">
        <is>
          <t xml:space="preserve">Opinions &amp; hypothetical situations</t>
        </is>
      </c>
      <c r="F132" t="inlineStr">
        <is>
          <t xml:space="preserve">Reading + vocabulary</t>
        </is>
      </c>
      <c r="G132" t="inlineStr">
        <is>
          <t xml:space="preserve">B1-032</t>
        </is>
      </c>
      <c r="H132" s="3" t="inlineStr">
        <is>
          <t xml:space="preserve">Gerunds &amp; infinitives</t>
        </is>
      </c>
      <c r="I132" s="3" t="inlineStr">
        <is>
          <t xml:space="preserve">GB14 Gerunds &amp; infinitives</t>
        </is>
      </c>
      <c r="J132" s="3" t="inlineStr">
        <is>
          <t xml:space="preserve">—</t>
        </is>
      </c>
      <c r="K132">
        <v>0</v>
      </c>
      <c r="L132" s="3" t="inlineStr">
        <is>
          <t xml:space="preserve">learning talk</t>
        </is>
      </c>
      <c r="M132" s="3" t="inlineStr">
        <is>
          <t xml:space="preserve">talk about preferences</t>
        </is>
      </c>
      <c r="N132" s="3" t="inlineStr">
        <is>
          <t xml:space="preserve">study text</t>
        </is>
      </c>
      <c r="O132" s="3" t="inlineStr">
        <is>
          <t xml:space="preserve">learning plan</t>
        </is>
      </c>
      <c r="P132" t="inlineStr">
        <is>
          <t xml:space="preserve">—</t>
        </is>
      </c>
      <c r="Q132">
        <v>60</v>
      </c>
      <c r="R132" s="3" t="inlineStr">
        <is>
          <t xml:space="preserve">—</t>
        </is>
      </c>
      <c r="S132">
        <f>IF(PROGRESS!$E132="Yes","Xong","Chưa làm")</f>
      </c>
      <c r="T132" s="3" t="inlineStr">
        <is>
          <t xml:space="preserve">CHỜ NẠP TỪ: thiếu 14</t>
        </is>
      </c>
    </row>
    <row r="133">
      <c r="A133">
        <v>132</v>
      </c>
      <c r="B133" s="2">
        <v>46431</v>
      </c>
      <c r="C133">
        <v>19</v>
      </c>
      <c r="D133" t="inlineStr">
        <is>
          <t xml:space="preserve">B1</t>
        </is>
      </c>
      <c r="E133" s="3" t="inlineStr">
        <is>
          <t xml:space="preserve">Opinions &amp; hypothetical situations</t>
        </is>
      </c>
      <c r="F133" t="inlineStr">
        <is>
          <t xml:space="preserve">Writing + correction</t>
        </is>
      </c>
      <c r="G133" t="inlineStr">
        <is>
          <t xml:space="preserve">B1-032</t>
        </is>
      </c>
      <c r="H133" s="3" t="inlineStr">
        <is>
          <t xml:space="preserve">Gerunds &amp; infinitives</t>
        </is>
      </c>
      <c r="I133" s="3" t="inlineStr">
        <is>
          <t xml:space="preserve">GB14 Gerunds &amp; infinitives</t>
        </is>
      </c>
      <c r="J133" s="3" t="inlineStr">
        <is>
          <t xml:space="preserve">—</t>
        </is>
      </c>
      <c r="K133">
        <v>0</v>
      </c>
      <c r="L133" s="3" t="inlineStr">
        <is>
          <t xml:space="preserve">learning talk</t>
        </is>
      </c>
      <c r="M133" s="3" t="inlineStr">
        <is>
          <t xml:space="preserve">talk about preferences</t>
        </is>
      </c>
      <c r="N133" s="3" t="inlineStr">
        <is>
          <t xml:space="preserve">study text</t>
        </is>
      </c>
      <c r="O133" s="3" t="inlineStr">
        <is>
          <t xml:space="preserve">learning plan</t>
        </is>
      </c>
      <c r="P133" t="inlineStr">
        <is>
          <t xml:space="preserve">—</t>
        </is>
      </c>
      <c r="Q133">
        <v>60</v>
      </c>
      <c r="R133" s="3" t="inlineStr">
        <is>
          <t xml:space="preserve">—</t>
        </is>
      </c>
      <c r="S133">
        <f>IF(PROGRESS!$E133="Yes","Xong","Chưa làm")</f>
      </c>
      <c r="T133" s="3" t="inlineStr">
        <is>
          <t xml:space="preserve">CHỜ NẠP TỪ: thiếu 14</t>
        </is>
      </c>
    </row>
    <row r="134">
      <c r="A134">
        <v>133</v>
      </c>
      <c r="B134" s="2">
        <v>46432</v>
      </c>
      <c r="C134">
        <v>19</v>
      </c>
      <c r="D134" t="inlineStr">
        <is>
          <t xml:space="preserve">B1</t>
        </is>
      </c>
      <c r="E134" s="3" t="inlineStr">
        <is>
          <t xml:space="preserve">Opinions &amp; hypothetical situations</t>
        </is>
      </c>
      <c r="F134" t="inlineStr">
        <is>
          <t xml:space="preserve">Weekly review</t>
        </is>
      </c>
      <c r="G134" t="inlineStr">
        <is>
          <t xml:space="preserve">—</t>
        </is>
      </c>
      <c r="H134" s="3" t="inlineStr">
        <is>
          <t xml:space="preserve">Ôn tổng hợp tuần 19</t>
        </is>
      </c>
      <c r="I134" s="3" t="inlineStr">
        <is>
          <t xml:space="preserve">—</t>
        </is>
      </c>
      <c r="J134" s="3" t="inlineStr">
        <is>
          <t xml:space="preserve">—</t>
        </is>
      </c>
      <c r="K134">
        <v>0</v>
      </c>
      <c r="L134" s="3" t="inlineStr">
        <is>
          <t xml:space="preserve">Ôn theo sheet DUE</t>
        </is>
      </c>
      <c r="M134" s="3" t="inlineStr">
        <is>
          <t xml:space="preserve">Nói lại 5 câu của tuần</t>
        </is>
      </c>
      <c r="N134" s="3" t="inlineStr">
        <is>
          <t xml:space="preserve">Đọc lại văn bản tuần</t>
        </is>
      </c>
      <c r="O134" s="3" t="inlineStr">
        <is>
          <t xml:space="preserve">Viết lại đoạn đã sửa</t>
        </is>
      </c>
      <c r="P134" t="inlineStr">
        <is>
          <t xml:space="preserve">—</t>
        </is>
      </c>
      <c r="Q134">
        <v>60</v>
      </c>
      <c r="R134" s="3" t="inlineStr">
        <is>
          <t xml:space="preserve">Test tuần 19</t>
        </is>
      </c>
      <c r="S134">
        <f>IF(PROGRESS!$E134="Yes","Xong","Chưa làm")</f>
      </c>
      <c r="T134" s="3" t="inlineStr">
        <is>
          <t xml:space="preserve">ngày ôn, không thêm từ</t>
        </is>
      </c>
    </row>
    <row r="135">
      <c r="A135">
        <v>134</v>
      </c>
      <c r="B135" s="2">
        <v>46433</v>
      </c>
      <c r="C135">
        <v>20</v>
      </c>
      <c r="D135" t="inlineStr">
        <is>
          <t xml:space="preserve">B1</t>
        </is>
      </c>
      <c r="E135" s="3" t="inlineStr">
        <is>
          <t xml:space="preserve">Writing &amp; speaking consolidation</t>
        </is>
      </c>
      <c r="F135" t="inlineStr">
        <is>
          <t xml:space="preserve">New concept</t>
        </is>
      </c>
      <c r="G135" t="inlineStr">
        <is>
          <t xml:space="preserve">B1-033</t>
        </is>
      </c>
      <c r="H135" s="3" t="inlineStr">
        <is>
          <t xml:space="preserve">Presentation basics</t>
        </is>
      </c>
      <c r="I135" s="3" t="inlineStr">
        <is>
          <t xml:space="preserve">GB15 Linking phrases for speaking &amp; writing</t>
        </is>
      </c>
      <c r="J135" s="3" t="inlineStr">
        <is>
          <t xml:space="preserve">—</t>
        </is>
      </c>
      <c r="K135">
        <v>0</v>
      </c>
      <c r="L135" s="3" t="inlineStr">
        <is>
          <t xml:space="preserve">short presentation</t>
        </is>
      </c>
      <c r="M135" s="3" t="inlineStr">
        <is>
          <t xml:space="preserve">2-minute talk</t>
        </is>
      </c>
      <c r="N135" s="3" t="inlineStr">
        <is>
          <t xml:space="preserve">presentation notes</t>
        </is>
      </c>
      <c r="O135" s="3" t="inlineStr">
        <is>
          <t xml:space="preserve">outline</t>
        </is>
      </c>
      <c r="P135" t="inlineStr">
        <is>
          <t xml:space="preserve">—</t>
        </is>
      </c>
      <c r="Q135">
        <v>60</v>
      </c>
      <c r="R135" s="3" t="inlineStr">
        <is>
          <t xml:space="preserve">—</t>
        </is>
      </c>
      <c r="S135">
        <f>IF(PROGRESS!$E135="Yes","Xong","Chưa làm")</f>
      </c>
      <c r="T135" s="3" t="inlineStr">
        <is>
          <t xml:space="preserve">CHỜ NẠP TỪ: thiếu 14</t>
        </is>
      </c>
    </row>
    <row r="136">
      <c r="A136">
        <v>135</v>
      </c>
      <c r="B136" s="2">
        <v>46434</v>
      </c>
      <c r="C136">
        <v>20</v>
      </c>
      <c r="D136" t="inlineStr">
        <is>
          <t xml:space="preserve">B1</t>
        </is>
      </c>
      <c r="E136" s="3" t="inlineStr">
        <is>
          <t xml:space="preserve">Writing &amp; speaking consolidation</t>
        </is>
      </c>
      <c r="F136" t="inlineStr">
        <is>
          <t xml:space="preserve">Guided practice</t>
        </is>
      </c>
      <c r="G136" t="inlineStr">
        <is>
          <t xml:space="preserve">B1-033</t>
        </is>
      </c>
      <c r="H136" s="3" t="inlineStr">
        <is>
          <t xml:space="preserve">Presentation basics</t>
        </is>
      </c>
      <c r="I136" s="3" t="inlineStr">
        <is>
          <t xml:space="preserve">GB15 Linking phrases for speaking &amp; writing</t>
        </is>
      </c>
      <c r="J136" s="3" t="inlineStr">
        <is>
          <t xml:space="preserve">—</t>
        </is>
      </c>
      <c r="K136">
        <v>0</v>
      </c>
      <c r="L136" s="3" t="inlineStr">
        <is>
          <t xml:space="preserve">short presentation</t>
        </is>
      </c>
      <c r="M136" s="3" t="inlineStr">
        <is>
          <t xml:space="preserve">2-minute talk</t>
        </is>
      </c>
      <c r="N136" s="3" t="inlineStr">
        <is>
          <t xml:space="preserve">presentation notes</t>
        </is>
      </c>
      <c r="O136" s="3" t="inlineStr">
        <is>
          <t xml:space="preserve">outline</t>
        </is>
      </c>
      <c r="P136" t="inlineStr">
        <is>
          <t xml:space="preserve">—</t>
        </is>
      </c>
      <c r="Q136">
        <v>60</v>
      </c>
      <c r="R136" s="3" t="inlineStr">
        <is>
          <t xml:space="preserve">—</t>
        </is>
      </c>
      <c r="S136">
        <f>IF(PROGRESS!$E136="Yes","Xong","Chưa làm")</f>
      </c>
      <c r="T136" s="3" t="inlineStr">
        <is>
          <t xml:space="preserve">CHỜ NẠP TỪ: thiếu 14</t>
        </is>
      </c>
    </row>
    <row r="137">
      <c r="A137">
        <v>136</v>
      </c>
      <c r="B137" s="2">
        <v>46435</v>
      </c>
      <c r="C137">
        <v>20</v>
      </c>
      <c r="D137" t="inlineStr">
        <is>
          <t xml:space="preserve">B1</t>
        </is>
      </c>
      <c r="E137" s="3" t="inlineStr">
        <is>
          <t xml:space="preserve">Writing &amp; speaking consolidation</t>
        </is>
      </c>
      <c r="F137" t="inlineStr">
        <is>
          <t xml:space="preserve">Listening + shadowing</t>
        </is>
      </c>
      <c r="G137" t="inlineStr">
        <is>
          <t xml:space="preserve">B1-033</t>
        </is>
      </c>
      <c r="H137" s="3" t="inlineStr">
        <is>
          <t xml:space="preserve">Presentation basics</t>
        </is>
      </c>
      <c r="I137" s="3" t="inlineStr">
        <is>
          <t xml:space="preserve">GB15 Linking phrases for speaking &amp; writing</t>
        </is>
      </c>
      <c r="J137" s="3" t="inlineStr">
        <is>
          <t xml:space="preserve">—</t>
        </is>
      </c>
      <c r="K137">
        <v>0</v>
      </c>
      <c r="L137" s="3" t="inlineStr">
        <is>
          <t xml:space="preserve">short presentation</t>
        </is>
      </c>
      <c r="M137" s="3" t="inlineStr">
        <is>
          <t xml:space="preserve">2-minute talk</t>
        </is>
      </c>
      <c r="N137" s="3" t="inlineStr">
        <is>
          <t xml:space="preserve">presentation notes</t>
        </is>
      </c>
      <c r="O137" s="3" t="inlineStr">
        <is>
          <t xml:space="preserve">outline</t>
        </is>
      </c>
      <c r="P137" t="inlineStr">
        <is>
          <t xml:space="preserve">—</t>
        </is>
      </c>
      <c r="Q137">
        <v>60</v>
      </c>
      <c r="R137" s="3" t="inlineStr">
        <is>
          <t xml:space="preserve">—</t>
        </is>
      </c>
      <c r="S137">
        <f>IF(PROGRESS!$E137="Yes","Xong","Chưa làm")</f>
      </c>
      <c r="T137" s="3" t="inlineStr">
        <is>
          <t xml:space="preserve">CHỜ NẠP TỪ: thiếu 14</t>
        </is>
      </c>
    </row>
    <row r="138">
      <c r="A138">
        <v>137</v>
      </c>
      <c r="B138" s="2">
        <v>46436</v>
      </c>
      <c r="C138">
        <v>20</v>
      </c>
      <c r="D138" t="inlineStr">
        <is>
          <t xml:space="preserve">B1</t>
        </is>
      </c>
      <c r="E138" s="3" t="inlineStr">
        <is>
          <t xml:space="preserve">Writing &amp; speaking consolidation</t>
        </is>
      </c>
      <c r="F138" t="inlineStr">
        <is>
          <t xml:space="preserve">Speaking drill</t>
        </is>
      </c>
      <c r="G138" t="inlineStr">
        <is>
          <t xml:space="preserve">B1-033</t>
        </is>
      </c>
      <c r="H138" s="3" t="inlineStr">
        <is>
          <t xml:space="preserve">Presentation basics</t>
        </is>
      </c>
      <c r="I138" s="3" t="inlineStr">
        <is>
          <t xml:space="preserve">GB15 Linking phrases for speaking &amp; writing</t>
        </is>
      </c>
      <c r="J138" s="3" t="inlineStr">
        <is>
          <t xml:space="preserve">—</t>
        </is>
      </c>
      <c r="K138">
        <v>0</v>
      </c>
      <c r="L138" s="3" t="inlineStr">
        <is>
          <t xml:space="preserve">short presentation</t>
        </is>
      </c>
      <c r="M138" s="3" t="inlineStr">
        <is>
          <t xml:space="preserve">2-minute talk</t>
        </is>
      </c>
      <c r="N138" s="3" t="inlineStr">
        <is>
          <t xml:space="preserve">presentation notes</t>
        </is>
      </c>
      <c r="O138" s="3" t="inlineStr">
        <is>
          <t xml:space="preserve">outline</t>
        </is>
      </c>
      <c r="P138" t="inlineStr">
        <is>
          <t xml:space="preserve">—</t>
        </is>
      </c>
      <c r="Q138">
        <v>60</v>
      </c>
      <c r="R138" s="3" t="inlineStr">
        <is>
          <t xml:space="preserve">—</t>
        </is>
      </c>
      <c r="S138">
        <f>IF(PROGRESS!$E138="Yes","Xong","Chưa làm")</f>
      </c>
      <c r="T138" s="3" t="inlineStr">
        <is>
          <t xml:space="preserve">CHỜ NẠP TỪ: thiếu 14</t>
        </is>
      </c>
    </row>
    <row r="139">
      <c r="A139">
        <v>138</v>
      </c>
      <c r="B139" s="2">
        <v>46437</v>
      </c>
      <c r="C139">
        <v>20</v>
      </c>
      <c r="D139" t="inlineStr">
        <is>
          <t xml:space="preserve">B1</t>
        </is>
      </c>
      <c r="E139" s="3" t="inlineStr">
        <is>
          <t xml:space="preserve">Writing &amp; speaking consolidation</t>
        </is>
      </c>
      <c r="F139" t="inlineStr">
        <is>
          <t xml:space="preserve">Reading + vocabulary</t>
        </is>
      </c>
      <c r="G139" t="inlineStr">
        <is>
          <t xml:space="preserve">B1-033</t>
        </is>
      </c>
      <c r="H139" s="3" t="inlineStr">
        <is>
          <t xml:space="preserve">Presentation basics</t>
        </is>
      </c>
      <c r="I139" s="3" t="inlineStr">
        <is>
          <t xml:space="preserve">GB15 Linking phrases for speaking &amp; writing</t>
        </is>
      </c>
      <c r="J139" s="3" t="inlineStr">
        <is>
          <t xml:space="preserve">—</t>
        </is>
      </c>
      <c r="K139">
        <v>0</v>
      </c>
      <c r="L139" s="3" t="inlineStr">
        <is>
          <t xml:space="preserve">short presentation</t>
        </is>
      </c>
      <c r="M139" s="3" t="inlineStr">
        <is>
          <t xml:space="preserve">2-minute talk</t>
        </is>
      </c>
      <c r="N139" s="3" t="inlineStr">
        <is>
          <t xml:space="preserve">presentation notes</t>
        </is>
      </c>
      <c r="O139" s="3" t="inlineStr">
        <is>
          <t xml:space="preserve">outline</t>
        </is>
      </c>
      <c r="P139" t="inlineStr">
        <is>
          <t xml:space="preserve">—</t>
        </is>
      </c>
      <c r="Q139">
        <v>60</v>
      </c>
      <c r="R139" s="3" t="inlineStr">
        <is>
          <t xml:space="preserve">—</t>
        </is>
      </c>
      <c r="S139">
        <f>IF(PROGRESS!$E139="Yes","Xong","Chưa làm")</f>
      </c>
      <c r="T139" s="3" t="inlineStr">
        <is>
          <t xml:space="preserve">CHỜ NẠP TỪ: thiếu 14</t>
        </is>
      </c>
    </row>
    <row r="140">
      <c r="A140">
        <v>139</v>
      </c>
      <c r="B140" s="2">
        <v>46438</v>
      </c>
      <c r="C140">
        <v>20</v>
      </c>
      <c r="D140" t="inlineStr">
        <is>
          <t xml:space="preserve">B1</t>
        </is>
      </c>
      <c r="E140" s="3" t="inlineStr">
        <is>
          <t xml:space="preserve">Writing &amp; speaking consolidation</t>
        </is>
      </c>
      <c r="F140" t="inlineStr">
        <is>
          <t xml:space="preserve">Writing + correction</t>
        </is>
      </c>
      <c r="G140" t="inlineStr">
        <is>
          <t xml:space="preserve">B1-033</t>
        </is>
      </c>
      <c r="H140" s="3" t="inlineStr">
        <is>
          <t xml:space="preserve">Presentation basics</t>
        </is>
      </c>
      <c r="I140" s="3" t="inlineStr">
        <is>
          <t xml:space="preserve">GB15 Linking phrases for speaking &amp; writing</t>
        </is>
      </c>
      <c r="J140" s="3" t="inlineStr">
        <is>
          <t xml:space="preserve">—</t>
        </is>
      </c>
      <c r="K140">
        <v>0</v>
      </c>
      <c r="L140" s="3" t="inlineStr">
        <is>
          <t xml:space="preserve">short presentation</t>
        </is>
      </c>
      <c r="M140" s="3" t="inlineStr">
        <is>
          <t xml:space="preserve">2-minute talk</t>
        </is>
      </c>
      <c r="N140" s="3" t="inlineStr">
        <is>
          <t xml:space="preserve">presentation notes</t>
        </is>
      </c>
      <c r="O140" s="3" t="inlineStr">
        <is>
          <t xml:space="preserve">outline</t>
        </is>
      </c>
      <c r="P140" t="inlineStr">
        <is>
          <t xml:space="preserve">—</t>
        </is>
      </c>
      <c r="Q140">
        <v>60</v>
      </c>
      <c r="R140" s="3" t="inlineStr">
        <is>
          <t xml:space="preserve">—</t>
        </is>
      </c>
      <c r="S140">
        <f>IF(PROGRESS!$E140="Yes","Xong","Chưa làm")</f>
      </c>
      <c r="T140" s="3" t="inlineStr">
        <is>
          <t xml:space="preserve">CHỜ NẠP TỪ: thiếu 14</t>
        </is>
      </c>
    </row>
    <row r="141">
      <c r="A141">
        <v>140</v>
      </c>
      <c r="B141" s="2">
        <v>46439</v>
      </c>
      <c r="C141">
        <v>20</v>
      </c>
      <c r="D141" t="inlineStr">
        <is>
          <t xml:space="preserve">B1</t>
        </is>
      </c>
      <c r="E141" s="3" t="inlineStr">
        <is>
          <t xml:space="preserve">Writing &amp; speaking consolidation</t>
        </is>
      </c>
      <c r="F141" t="inlineStr">
        <is>
          <t xml:space="preserve">Weekly review</t>
        </is>
      </c>
      <c r="G141" t="inlineStr">
        <is>
          <t xml:space="preserve">—</t>
        </is>
      </c>
      <c r="H141" s="3" t="inlineStr">
        <is>
          <t xml:space="preserve">Ôn tổng hợp tuần 20</t>
        </is>
      </c>
      <c r="I141" s="3" t="inlineStr">
        <is>
          <t xml:space="preserve">—</t>
        </is>
      </c>
      <c r="J141" s="3" t="inlineStr">
        <is>
          <t xml:space="preserve">—</t>
        </is>
      </c>
      <c r="K141">
        <v>0</v>
      </c>
      <c r="L141" s="3" t="inlineStr">
        <is>
          <t xml:space="preserve">Ôn theo sheet DUE</t>
        </is>
      </c>
      <c r="M141" s="3" t="inlineStr">
        <is>
          <t xml:space="preserve">Nói lại 5 câu của tuần</t>
        </is>
      </c>
      <c r="N141" s="3" t="inlineStr">
        <is>
          <t xml:space="preserve">Đọc lại văn bản tuần</t>
        </is>
      </c>
      <c r="O141" s="3" t="inlineStr">
        <is>
          <t xml:space="preserve">Viết lại đoạn đã sửa</t>
        </is>
      </c>
      <c r="P141" t="inlineStr">
        <is>
          <t xml:space="preserve">—</t>
        </is>
      </c>
      <c r="Q141">
        <v>60</v>
      </c>
      <c r="R141" s="3" t="inlineStr">
        <is>
          <t xml:space="preserve">Test tuần 20</t>
        </is>
      </c>
      <c r="S141">
        <f>IF(PROGRESS!$E141="Yes","Xong","Chưa làm")</f>
      </c>
      <c r="T141" s="3" t="inlineStr">
        <is>
          <t xml:space="preserve">ngày ôn, không thêm từ</t>
        </is>
      </c>
    </row>
    <row r="142">
      <c r="A142">
        <v>141</v>
      </c>
      <c r="B142" s="2">
        <v>46440</v>
      </c>
      <c r="C142">
        <v>21</v>
      </c>
      <c r="D142" t="inlineStr">
        <is>
          <t xml:space="preserve">B1</t>
        </is>
      </c>
      <c r="E142" s="3" t="inlineStr">
        <is>
          <t xml:space="preserve">Review &amp; mock tests</t>
        </is>
      </c>
      <c r="F142" t="inlineStr">
        <is>
          <t xml:space="preserve">New concept</t>
        </is>
      </c>
      <c r="G142" t="inlineStr">
        <is>
          <t xml:space="preserve">—</t>
        </is>
      </c>
      <c r="H142" s="3" t="inlineStr">
        <is>
          <t xml:space="preserve">—</t>
        </is>
      </c>
      <c r="I142" s="3" t="inlineStr">
        <is>
          <t xml:space="preserve">—</t>
        </is>
      </c>
      <c r="J142" s="3" t="inlineStr">
        <is>
          <t xml:space="preserve">—</t>
        </is>
      </c>
      <c r="K142">
        <v>0</v>
      </c>
      <c r="L142" s="3" t="inlineStr">
        <is>
          <t xml:space="preserve">Ôn theo sheet DUE</t>
        </is>
      </c>
      <c r="M142" s="3" t="inlineStr">
        <is>
          <t xml:space="preserve">Nói lại 5 câu của tuần</t>
        </is>
      </c>
      <c r="N142" s="3" t="inlineStr">
        <is>
          <t xml:space="preserve">Đọc lại văn bản tuần</t>
        </is>
      </c>
      <c r="O142" s="3" t="inlineStr">
        <is>
          <t xml:space="preserve">Viết lại đoạn đã sửa</t>
        </is>
      </c>
      <c r="P142" t="inlineStr">
        <is>
          <t xml:space="preserve">—</t>
        </is>
      </c>
      <c r="Q142">
        <v>60</v>
      </c>
      <c r="R142" s="3" t="inlineStr">
        <is>
          <t xml:space="preserve">—</t>
        </is>
      </c>
      <c r="S142">
        <f>IF(PROGRESS!$E142="Yes","Xong","Chưa làm")</f>
      </c>
      <c r="T142" s="3" t="inlineStr">
        <is>
          <t xml:space="preserve">đủ từ</t>
        </is>
      </c>
    </row>
    <row r="143">
      <c r="A143">
        <v>142</v>
      </c>
      <c r="B143" s="2">
        <v>46441</v>
      </c>
      <c r="C143">
        <v>21</v>
      </c>
      <c r="D143" t="inlineStr">
        <is>
          <t xml:space="preserve">B1</t>
        </is>
      </c>
      <c r="E143" s="3" t="inlineStr">
        <is>
          <t xml:space="preserve">Review &amp; mock tests</t>
        </is>
      </c>
      <c r="F143" t="inlineStr">
        <is>
          <t xml:space="preserve">Guided practice</t>
        </is>
      </c>
      <c r="G143" t="inlineStr">
        <is>
          <t xml:space="preserve">—</t>
        </is>
      </c>
      <c r="H143" s="3" t="inlineStr">
        <is>
          <t xml:space="preserve">—</t>
        </is>
      </c>
      <c r="I143" s="3" t="inlineStr">
        <is>
          <t xml:space="preserve">—</t>
        </is>
      </c>
      <c r="J143" s="3" t="inlineStr">
        <is>
          <t xml:space="preserve">—</t>
        </is>
      </c>
      <c r="K143">
        <v>0</v>
      </c>
      <c r="L143" s="3" t="inlineStr">
        <is>
          <t xml:space="preserve">Ôn theo sheet DUE</t>
        </is>
      </c>
      <c r="M143" s="3" t="inlineStr">
        <is>
          <t xml:space="preserve">Nói lại 5 câu của tuần</t>
        </is>
      </c>
      <c r="N143" s="3" t="inlineStr">
        <is>
          <t xml:space="preserve">Đọc lại văn bản tuần</t>
        </is>
      </c>
      <c r="O143" s="3" t="inlineStr">
        <is>
          <t xml:space="preserve">Viết lại đoạn đã sửa</t>
        </is>
      </c>
      <c r="P143" t="inlineStr">
        <is>
          <t xml:space="preserve">—</t>
        </is>
      </c>
      <c r="Q143">
        <v>60</v>
      </c>
      <c r="R143" s="3" t="inlineStr">
        <is>
          <t xml:space="preserve">—</t>
        </is>
      </c>
      <c r="S143">
        <f>IF(PROGRESS!$E143="Yes","Xong","Chưa làm")</f>
      </c>
      <c r="T143" s="3" t="inlineStr">
        <is>
          <t xml:space="preserve">đủ từ</t>
        </is>
      </c>
    </row>
    <row r="144">
      <c r="A144">
        <v>143</v>
      </c>
      <c r="B144" s="2">
        <v>46442</v>
      </c>
      <c r="C144">
        <v>21</v>
      </c>
      <c r="D144" t="inlineStr">
        <is>
          <t xml:space="preserve">B1</t>
        </is>
      </c>
      <c r="E144" s="3" t="inlineStr">
        <is>
          <t xml:space="preserve">Review &amp; mock tests</t>
        </is>
      </c>
      <c r="F144" t="inlineStr">
        <is>
          <t xml:space="preserve">Listening + shadowing</t>
        </is>
      </c>
      <c r="G144" t="inlineStr">
        <is>
          <t xml:space="preserve">—</t>
        </is>
      </c>
      <c r="H144" s="3" t="inlineStr">
        <is>
          <t xml:space="preserve">—</t>
        </is>
      </c>
      <c r="I144" s="3" t="inlineStr">
        <is>
          <t xml:space="preserve">—</t>
        </is>
      </c>
      <c r="J144" s="3" t="inlineStr">
        <is>
          <t xml:space="preserve">—</t>
        </is>
      </c>
      <c r="K144">
        <v>0</v>
      </c>
      <c r="L144" s="3" t="inlineStr">
        <is>
          <t xml:space="preserve">Ôn theo sheet DUE</t>
        </is>
      </c>
      <c r="M144" s="3" t="inlineStr">
        <is>
          <t xml:space="preserve">Nói lại 5 câu của tuần</t>
        </is>
      </c>
      <c r="N144" s="3" t="inlineStr">
        <is>
          <t xml:space="preserve">Đọc lại văn bản tuần</t>
        </is>
      </c>
      <c r="O144" s="3" t="inlineStr">
        <is>
          <t xml:space="preserve">Viết lại đoạn đã sửa</t>
        </is>
      </c>
      <c r="P144" t="inlineStr">
        <is>
          <t xml:space="preserve">—</t>
        </is>
      </c>
      <c r="Q144">
        <v>60</v>
      </c>
      <c r="R144" s="3" t="inlineStr">
        <is>
          <t xml:space="preserve">—</t>
        </is>
      </c>
      <c r="S144">
        <f>IF(PROGRESS!$E144="Yes","Xong","Chưa làm")</f>
      </c>
      <c r="T144" s="3" t="inlineStr">
        <is>
          <t xml:space="preserve">đủ từ</t>
        </is>
      </c>
    </row>
    <row r="145">
      <c r="A145">
        <v>144</v>
      </c>
      <c r="B145" s="2">
        <v>46443</v>
      </c>
      <c r="C145">
        <v>21</v>
      </c>
      <c r="D145" t="inlineStr">
        <is>
          <t xml:space="preserve">B1</t>
        </is>
      </c>
      <c r="E145" s="3" t="inlineStr">
        <is>
          <t xml:space="preserve">Review &amp; mock tests</t>
        </is>
      </c>
      <c r="F145" t="inlineStr">
        <is>
          <t xml:space="preserve">Speaking drill</t>
        </is>
      </c>
      <c r="G145" t="inlineStr">
        <is>
          <t xml:space="preserve">—</t>
        </is>
      </c>
      <c r="H145" s="3" t="inlineStr">
        <is>
          <t xml:space="preserve">—</t>
        </is>
      </c>
      <c r="I145" s="3" t="inlineStr">
        <is>
          <t xml:space="preserve">—</t>
        </is>
      </c>
      <c r="J145" s="3" t="inlineStr">
        <is>
          <t xml:space="preserve">—</t>
        </is>
      </c>
      <c r="K145">
        <v>0</v>
      </c>
      <c r="L145" s="3" t="inlineStr">
        <is>
          <t xml:space="preserve">Ôn theo sheet DUE</t>
        </is>
      </c>
      <c r="M145" s="3" t="inlineStr">
        <is>
          <t xml:space="preserve">Nói lại 5 câu của tuần</t>
        </is>
      </c>
      <c r="N145" s="3" t="inlineStr">
        <is>
          <t xml:space="preserve">Đọc lại văn bản tuần</t>
        </is>
      </c>
      <c r="O145" s="3" t="inlineStr">
        <is>
          <t xml:space="preserve">Viết lại đoạn đã sửa</t>
        </is>
      </c>
      <c r="P145" t="inlineStr">
        <is>
          <t xml:space="preserve">—</t>
        </is>
      </c>
      <c r="Q145">
        <v>60</v>
      </c>
      <c r="R145" s="3" t="inlineStr">
        <is>
          <t xml:space="preserve">—</t>
        </is>
      </c>
      <c r="S145">
        <f>IF(PROGRESS!$E145="Yes","Xong","Chưa làm")</f>
      </c>
      <c r="T145" s="3" t="inlineStr">
        <is>
          <t xml:space="preserve">đủ từ</t>
        </is>
      </c>
    </row>
    <row r="146">
      <c r="A146">
        <v>145</v>
      </c>
      <c r="B146" s="2">
        <v>46444</v>
      </c>
      <c r="C146">
        <v>21</v>
      </c>
      <c r="D146" t="inlineStr">
        <is>
          <t xml:space="preserve">B1</t>
        </is>
      </c>
      <c r="E146" s="3" t="inlineStr">
        <is>
          <t xml:space="preserve">Review &amp; mock tests</t>
        </is>
      </c>
      <c r="F146" t="inlineStr">
        <is>
          <t xml:space="preserve">Reading + vocabulary</t>
        </is>
      </c>
      <c r="G146" t="inlineStr">
        <is>
          <t xml:space="preserve">—</t>
        </is>
      </c>
      <c r="H146" s="3" t="inlineStr">
        <is>
          <t xml:space="preserve">—</t>
        </is>
      </c>
      <c r="I146" s="3" t="inlineStr">
        <is>
          <t xml:space="preserve">—</t>
        </is>
      </c>
      <c r="J146" s="3" t="inlineStr">
        <is>
          <t xml:space="preserve">—</t>
        </is>
      </c>
      <c r="K146">
        <v>0</v>
      </c>
      <c r="L146" s="3" t="inlineStr">
        <is>
          <t xml:space="preserve">Ôn theo sheet DUE</t>
        </is>
      </c>
      <c r="M146" s="3" t="inlineStr">
        <is>
          <t xml:space="preserve">Nói lại 5 câu của tuần</t>
        </is>
      </c>
      <c r="N146" s="3" t="inlineStr">
        <is>
          <t xml:space="preserve">Đọc lại văn bản tuần</t>
        </is>
      </c>
      <c r="O146" s="3" t="inlineStr">
        <is>
          <t xml:space="preserve">Viết lại đoạn đã sửa</t>
        </is>
      </c>
      <c r="P146" t="inlineStr">
        <is>
          <t xml:space="preserve">—</t>
        </is>
      </c>
      <c r="Q146">
        <v>60</v>
      </c>
      <c r="R146" s="3" t="inlineStr">
        <is>
          <t xml:space="preserve">—</t>
        </is>
      </c>
      <c r="S146">
        <f>IF(PROGRESS!$E146="Yes","Xong","Chưa làm")</f>
      </c>
      <c r="T146" s="3" t="inlineStr">
        <is>
          <t xml:space="preserve">đủ từ</t>
        </is>
      </c>
    </row>
    <row r="147">
      <c r="A147">
        <v>146</v>
      </c>
      <c r="B147" s="2">
        <v>46445</v>
      </c>
      <c r="C147">
        <v>21</v>
      </c>
      <c r="D147" t="inlineStr">
        <is>
          <t xml:space="preserve">B1</t>
        </is>
      </c>
      <c r="E147" s="3" t="inlineStr">
        <is>
          <t xml:space="preserve">Review &amp; mock tests</t>
        </is>
      </c>
      <c r="F147" t="inlineStr">
        <is>
          <t xml:space="preserve">Writing + correction</t>
        </is>
      </c>
      <c r="G147" t="inlineStr">
        <is>
          <t xml:space="preserve">—</t>
        </is>
      </c>
      <c r="H147" s="3" t="inlineStr">
        <is>
          <t xml:space="preserve">—</t>
        </is>
      </c>
      <c r="I147" s="3" t="inlineStr">
        <is>
          <t xml:space="preserve">—</t>
        </is>
      </c>
      <c r="J147" s="3" t="inlineStr">
        <is>
          <t xml:space="preserve">—</t>
        </is>
      </c>
      <c r="K147">
        <v>0</v>
      </c>
      <c r="L147" s="3" t="inlineStr">
        <is>
          <t xml:space="preserve">Ôn theo sheet DUE</t>
        </is>
      </c>
      <c r="M147" s="3" t="inlineStr">
        <is>
          <t xml:space="preserve">Nói lại 5 câu của tuần</t>
        </is>
      </c>
      <c r="N147" s="3" t="inlineStr">
        <is>
          <t xml:space="preserve">Đọc lại văn bản tuần</t>
        </is>
      </c>
      <c r="O147" s="3" t="inlineStr">
        <is>
          <t xml:space="preserve">Viết lại đoạn đã sửa</t>
        </is>
      </c>
      <c r="P147" t="inlineStr">
        <is>
          <t xml:space="preserve">—</t>
        </is>
      </c>
      <c r="Q147">
        <v>60</v>
      </c>
      <c r="R147" s="3" t="inlineStr">
        <is>
          <t xml:space="preserve">—</t>
        </is>
      </c>
      <c r="S147">
        <f>IF(PROGRESS!$E147="Yes","Xong","Chưa làm")</f>
      </c>
      <c r="T147" s="3" t="inlineStr">
        <is>
          <t xml:space="preserve">đủ từ</t>
        </is>
      </c>
    </row>
    <row r="148">
      <c r="A148">
        <v>147</v>
      </c>
      <c r="B148" s="2">
        <v>46446</v>
      </c>
      <c r="C148">
        <v>21</v>
      </c>
      <c r="D148" t="inlineStr">
        <is>
          <t xml:space="preserve">B1</t>
        </is>
      </c>
      <c r="E148" s="3" t="inlineStr">
        <is>
          <t xml:space="preserve">Review &amp; mock tests</t>
        </is>
      </c>
      <c r="F148" t="inlineStr">
        <is>
          <t xml:space="preserve">Weekly review</t>
        </is>
      </c>
      <c r="G148" t="inlineStr">
        <is>
          <t xml:space="preserve">—</t>
        </is>
      </c>
      <c r="H148" s="3" t="inlineStr">
        <is>
          <t xml:space="preserve">Ôn tổng hợp tuần 21</t>
        </is>
      </c>
      <c r="I148" s="3" t="inlineStr">
        <is>
          <t xml:space="preserve">—</t>
        </is>
      </c>
      <c r="J148" s="3" t="inlineStr">
        <is>
          <t xml:space="preserve">—</t>
        </is>
      </c>
      <c r="K148">
        <v>0</v>
      </c>
      <c r="L148" s="3" t="inlineStr">
        <is>
          <t xml:space="preserve">Ôn theo sheet DUE</t>
        </is>
      </c>
      <c r="M148" s="3" t="inlineStr">
        <is>
          <t xml:space="preserve">Nói lại 5 câu của tuần</t>
        </is>
      </c>
      <c r="N148" s="3" t="inlineStr">
        <is>
          <t xml:space="preserve">Đọc lại văn bản tuần</t>
        </is>
      </c>
      <c r="O148" s="3" t="inlineStr">
        <is>
          <t xml:space="preserve">Viết lại đoạn đã sửa</t>
        </is>
      </c>
      <c r="P148" t="inlineStr">
        <is>
          <t xml:space="preserve">—</t>
        </is>
      </c>
      <c r="Q148">
        <v>60</v>
      </c>
      <c r="R148" s="3" t="inlineStr">
        <is>
          <t xml:space="preserve">Test tuần 21</t>
        </is>
      </c>
      <c r="S148">
        <f>IF(PROGRESS!$E148="Yes","Xong","Chưa làm")</f>
      </c>
      <c r="T148" s="3" t="inlineStr">
        <is>
          <t xml:space="preserve">ngày ôn, không thêm từ</t>
        </is>
      </c>
    </row>
    <row r="149">
      <c r="A149">
        <v>148</v>
      </c>
      <c r="B149" s="2">
        <v>46447</v>
      </c>
      <c r="C149">
        <v>22</v>
      </c>
      <c r="D149" t="inlineStr">
        <is>
          <t xml:space="preserve">B1</t>
        </is>
      </c>
      <c r="E149" s="3" t="inlineStr">
        <is>
          <t xml:space="preserve">Vocabulary expansion</t>
        </is>
      </c>
      <c r="F149" t="inlineStr">
        <is>
          <t xml:space="preserve">New concept</t>
        </is>
      </c>
      <c r="G149" t="inlineStr">
        <is>
          <t xml:space="preserve">B1-034</t>
        </is>
      </c>
      <c r="H149" s="3" t="inlineStr">
        <is>
          <t xml:space="preserve">Email &amp; formal messages</t>
        </is>
      </c>
      <c r="I149" s="3" t="inlineStr">
        <is>
          <t xml:space="preserve">GB15 Linking phrases for speaking &amp; writing</t>
        </is>
      </c>
      <c r="J149" s="3" t="inlineStr">
        <is>
          <t xml:space="preserve">—</t>
        </is>
      </c>
      <c r="K149">
        <v>0</v>
      </c>
      <c r="L149" s="3" t="inlineStr">
        <is>
          <t xml:space="preserve">email examples</t>
        </is>
      </c>
      <c r="M149" s="3" t="inlineStr">
        <is>
          <t xml:space="preserve">read aloud</t>
        </is>
      </c>
      <c r="N149" s="3" t="inlineStr">
        <is>
          <t xml:space="preserve">email samples</t>
        </is>
      </c>
      <c r="O149" s="3" t="inlineStr">
        <is>
          <t xml:space="preserve">120–180 word email</t>
        </is>
      </c>
      <c r="P149" t="inlineStr">
        <is>
          <t xml:space="preserve">—</t>
        </is>
      </c>
      <c r="Q149">
        <v>60</v>
      </c>
      <c r="R149" s="3" t="inlineStr">
        <is>
          <t xml:space="preserve">—</t>
        </is>
      </c>
      <c r="S149">
        <f>IF(PROGRESS!$E149="Yes","Xong","Chưa làm")</f>
      </c>
      <c r="T149" s="3" t="inlineStr">
        <is>
          <t xml:space="preserve">CHỜ NẠP TỪ: thiếu 14</t>
        </is>
      </c>
    </row>
    <row r="150">
      <c r="A150">
        <v>149</v>
      </c>
      <c r="B150" s="2">
        <v>46448</v>
      </c>
      <c r="C150">
        <v>22</v>
      </c>
      <c r="D150" t="inlineStr">
        <is>
          <t xml:space="preserve">B1</t>
        </is>
      </c>
      <c r="E150" s="3" t="inlineStr">
        <is>
          <t xml:space="preserve">Vocabulary expansion</t>
        </is>
      </c>
      <c r="F150" t="inlineStr">
        <is>
          <t xml:space="preserve">Guided practice</t>
        </is>
      </c>
      <c r="G150" t="inlineStr">
        <is>
          <t xml:space="preserve">B1-034</t>
        </is>
      </c>
      <c r="H150" s="3" t="inlineStr">
        <is>
          <t xml:space="preserve">Email &amp; formal messages</t>
        </is>
      </c>
      <c r="I150" s="3" t="inlineStr">
        <is>
          <t xml:space="preserve">GB15 Linking phrases for speaking &amp; writing</t>
        </is>
      </c>
      <c r="J150" s="3" t="inlineStr">
        <is>
          <t xml:space="preserve">—</t>
        </is>
      </c>
      <c r="K150">
        <v>0</v>
      </c>
      <c r="L150" s="3" t="inlineStr">
        <is>
          <t xml:space="preserve">email examples</t>
        </is>
      </c>
      <c r="M150" s="3" t="inlineStr">
        <is>
          <t xml:space="preserve">read aloud</t>
        </is>
      </c>
      <c r="N150" s="3" t="inlineStr">
        <is>
          <t xml:space="preserve">email samples</t>
        </is>
      </c>
      <c r="O150" s="3" t="inlineStr">
        <is>
          <t xml:space="preserve">120–180 word email</t>
        </is>
      </c>
      <c r="P150" t="inlineStr">
        <is>
          <t xml:space="preserve">—</t>
        </is>
      </c>
      <c r="Q150">
        <v>60</v>
      </c>
      <c r="R150" s="3" t="inlineStr">
        <is>
          <t xml:space="preserve">—</t>
        </is>
      </c>
      <c r="S150">
        <f>IF(PROGRESS!$E150="Yes","Xong","Chưa làm")</f>
      </c>
      <c r="T150" s="3" t="inlineStr">
        <is>
          <t xml:space="preserve">CHỜ NẠP TỪ: thiếu 14</t>
        </is>
      </c>
    </row>
    <row r="151">
      <c r="A151">
        <v>150</v>
      </c>
      <c r="B151" s="2">
        <v>46449</v>
      </c>
      <c r="C151">
        <v>22</v>
      </c>
      <c r="D151" t="inlineStr">
        <is>
          <t xml:space="preserve">B1</t>
        </is>
      </c>
      <c r="E151" s="3" t="inlineStr">
        <is>
          <t xml:space="preserve">Vocabulary expansion</t>
        </is>
      </c>
      <c r="F151" t="inlineStr">
        <is>
          <t xml:space="preserve">Listening + shadowing</t>
        </is>
      </c>
      <c r="G151" t="inlineStr">
        <is>
          <t xml:space="preserve">B1-034</t>
        </is>
      </c>
      <c r="H151" s="3" t="inlineStr">
        <is>
          <t xml:space="preserve">Email &amp; formal messages</t>
        </is>
      </c>
      <c r="I151" s="3" t="inlineStr">
        <is>
          <t xml:space="preserve">GB15 Linking phrases for speaking &amp; writing</t>
        </is>
      </c>
      <c r="J151" s="3" t="inlineStr">
        <is>
          <t xml:space="preserve">—</t>
        </is>
      </c>
      <c r="K151">
        <v>0</v>
      </c>
      <c r="L151" s="3" t="inlineStr">
        <is>
          <t xml:space="preserve">email examples</t>
        </is>
      </c>
      <c r="M151" s="3" t="inlineStr">
        <is>
          <t xml:space="preserve">read aloud</t>
        </is>
      </c>
      <c r="N151" s="3" t="inlineStr">
        <is>
          <t xml:space="preserve">email samples</t>
        </is>
      </c>
      <c r="O151" s="3" t="inlineStr">
        <is>
          <t xml:space="preserve">120–180 word email</t>
        </is>
      </c>
      <c r="P151" t="inlineStr">
        <is>
          <t xml:space="preserve">—</t>
        </is>
      </c>
      <c r="Q151">
        <v>60</v>
      </c>
      <c r="R151" s="3" t="inlineStr">
        <is>
          <t xml:space="preserve">—</t>
        </is>
      </c>
      <c r="S151">
        <f>IF(PROGRESS!$E151="Yes","Xong","Chưa làm")</f>
      </c>
      <c r="T151" s="3" t="inlineStr">
        <is>
          <t xml:space="preserve">CHỜ NẠP TỪ: thiếu 14</t>
        </is>
      </c>
    </row>
    <row r="152">
      <c r="A152">
        <v>151</v>
      </c>
      <c r="B152" s="2">
        <v>46450</v>
      </c>
      <c r="C152">
        <v>22</v>
      </c>
      <c r="D152" t="inlineStr">
        <is>
          <t xml:space="preserve">B1</t>
        </is>
      </c>
      <c r="E152" s="3" t="inlineStr">
        <is>
          <t xml:space="preserve">Vocabulary expansion</t>
        </is>
      </c>
      <c r="F152" t="inlineStr">
        <is>
          <t xml:space="preserve">Speaking drill</t>
        </is>
      </c>
      <c r="G152" t="inlineStr">
        <is>
          <t xml:space="preserve">B1-034</t>
        </is>
      </c>
      <c r="H152" s="3" t="inlineStr">
        <is>
          <t xml:space="preserve">Email &amp; formal messages</t>
        </is>
      </c>
      <c r="I152" s="3" t="inlineStr">
        <is>
          <t xml:space="preserve">GB15 Linking phrases for speaking &amp; writing</t>
        </is>
      </c>
      <c r="J152" s="3" t="inlineStr">
        <is>
          <t xml:space="preserve">—</t>
        </is>
      </c>
      <c r="K152">
        <v>0</v>
      </c>
      <c r="L152" s="3" t="inlineStr">
        <is>
          <t xml:space="preserve">email examples</t>
        </is>
      </c>
      <c r="M152" s="3" t="inlineStr">
        <is>
          <t xml:space="preserve">read aloud</t>
        </is>
      </c>
      <c r="N152" s="3" t="inlineStr">
        <is>
          <t xml:space="preserve">email samples</t>
        </is>
      </c>
      <c r="O152" s="3" t="inlineStr">
        <is>
          <t xml:space="preserve">120–180 word email</t>
        </is>
      </c>
      <c r="P152" t="inlineStr">
        <is>
          <t xml:space="preserve">—</t>
        </is>
      </c>
      <c r="Q152">
        <v>60</v>
      </c>
      <c r="R152" s="3" t="inlineStr">
        <is>
          <t xml:space="preserve">—</t>
        </is>
      </c>
      <c r="S152">
        <f>IF(PROGRESS!$E152="Yes","Xong","Chưa làm")</f>
      </c>
      <c r="T152" s="3" t="inlineStr">
        <is>
          <t xml:space="preserve">CHỜ NẠP TỪ: thiếu 14</t>
        </is>
      </c>
    </row>
    <row r="153">
      <c r="A153">
        <v>152</v>
      </c>
      <c r="B153" s="2">
        <v>46451</v>
      </c>
      <c r="C153">
        <v>22</v>
      </c>
      <c r="D153" t="inlineStr">
        <is>
          <t xml:space="preserve">B1</t>
        </is>
      </c>
      <c r="E153" s="3" t="inlineStr">
        <is>
          <t xml:space="preserve">Vocabulary expansion</t>
        </is>
      </c>
      <c r="F153" t="inlineStr">
        <is>
          <t xml:space="preserve">Reading + vocabulary</t>
        </is>
      </c>
      <c r="G153" t="inlineStr">
        <is>
          <t xml:space="preserve">B1-034</t>
        </is>
      </c>
      <c r="H153" s="3" t="inlineStr">
        <is>
          <t xml:space="preserve">Email &amp; formal messages</t>
        </is>
      </c>
      <c r="I153" s="3" t="inlineStr">
        <is>
          <t xml:space="preserve">GB15 Linking phrases for speaking &amp; writing</t>
        </is>
      </c>
      <c r="J153" s="3" t="inlineStr">
        <is>
          <t xml:space="preserve">—</t>
        </is>
      </c>
      <c r="K153">
        <v>0</v>
      </c>
      <c r="L153" s="3" t="inlineStr">
        <is>
          <t xml:space="preserve">email examples</t>
        </is>
      </c>
      <c r="M153" s="3" t="inlineStr">
        <is>
          <t xml:space="preserve">read aloud</t>
        </is>
      </c>
      <c r="N153" s="3" t="inlineStr">
        <is>
          <t xml:space="preserve">email samples</t>
        </is>
      </c>
      <c r="O153" s="3" t="inlineStr">
        <is>
          <t xml:space="preserve">120–180 word email</t>
        </is>
      </c>
      <c r="P153" t="inlineStr">
        <is>
          <t xml:space="preserve">—</t>
        </is>
      </c>
      <c r="Q153">
        <v>60</v>
      </c>
      <c r="R153" s="3" t="inlineStr">
        <is>
          <t xml:space="preserve">—</t>
        </is>
      </c>
      <c r="S153">
        <f>IF(PROGRESS!$E153="Yes","Xong","Chưa làm")</f>
      </c>
      <c r="T153" s="3" t="inlineStr">
        <is>
          <t xml:space="preserve">CHỜ NẠP TỪ: thiếu 14</t>
        </is>
      </c>
    </row>
    <row r="154">
      <c r="A154">
        <v>153</v>
      </c>
      <c r="B154" s="2">
        <v>46452</v>
      </c>
      <c r="C154">
        <v>22</v>
      </c>
      <c r="D154" t="inlineStr">
        <is>
          <t xml:space="preserve">B1</t>
        </is>
      </c>
      <c r="E154" s="3" t="inlineStr">
        <is>
          <t xml:space="preserve">Vocabulary expansion</t>
        </is>
      </c>
      <c r="F154" t="inlineStr">
        <is>
          <t xml:space="preserve">Writing + correction</t>
        </is>
      </c>
      <c r="G154" t="inlineStr">
        <is>
          <t xml:space="preserve">B1-034</t>
        </is>
      </c>
      <c r="H154" s="3" t="inlineStr">
        <is>
          <t xml:space="preserve">Email &amp; formal messages</t>
        </is>
      </c>
      <c r="I154" s="3" t="inlineStr">
        <is>
          <t xml:space="preserve">GB15 Linking phrases for speaking &amp; writing</t>
        </is>
      </c>
      <c r="J154" s="3" t="inlineStr">
        <is>
          <t xml:space="preserve">—</t>
        </is>
      </c>
      <c r="K154">
        <v>0</v>
      </c>
      <c r="L154" s="3" t="inlineStr">
        <is>
          <t xml:space="preserve">email examples</t>
        </is>
      </c>
      <c r="M154" s="3" t="inlineStr">
        <is>
          <t xml:space="preserve">read aloud</t>
        </is>
      </c>
      <c r="N154" s="3" t="inlineStr">
        <is>
          <t xml:space="preserve">email samples</t>
        </is>
      </c>
      <c r="O154" s="3" t="inlineStr">
        <is>
          <t xml:space="preserve">120–180 word email</t>
        </is>
      </c>
      <c r="P154" t="inlineStr">
        <is>
          <t xml:space="preserve">—</t>
        </is>
      </c>
      <c r="Q154">
        <v>60</v>
      </c>
      <c r="R154" s="3" t="inlineStr">
        <is>
          <t xml:space="preserve">—</t>
        </is>
      </c>
      <c r="S154">
        <f>IF(PROGRESS!$E154="Yes","Xong","Chưa làm")</f>
      </c>
      <c r="T154" s="3" t="inlineStr">
        <is>
          <t xml:space="preserve">CHỜ NẠP TỪ: thiếu 14</t>
        </is>
      </c>
    </row>
    <row r="155">
      <c r="A155">
        <v>154</v>
      </c>
      <c r="B155" s="2">
        <v>46453</v>
      </c>
      <c r="C155">
        <v>22</v>
      </c>
      <c r="D155" t="inlineStr">
        <is>
          <t xml:space="preserve">B1</t>
        </is>
      </c>
      <c r="E155" s="3" t="inlineStr">
        <is>
          <t xml:space="preserve">Vocabulary expansion</t>
        </is>
      </c>
      <c r="F155" t="inlineStr">
        <is>
          <t xml:space="preserve">Weekly review</t>
        </is>
      </c>
      <c r="G155" t="inlineStr">
        <is>
          <t xml:space="preserve">—</t>
        </is>
      </c>
      <c r="H155" s="3" t="inlineStr">
        <is>
          <t xml:space="preserve">Ôn tổng hợp tuần 22</t>
        </is>
      </c>
      <c r="I155" s="3" t="inlineStr">
        <is>
          <t xml:space="preserve">—</t>
        </is>
      </c>
      <c r="J155" s="3" t="inlineStr">
        <is>
          <t xml:space="preserve">—</t>
        </is>
      </c>
      <c r="K155">
        <v>0</v>
      </c>
      <c r="L155" s="3" t="inlineStr">
        <is>
          <t xml:space="preserve">Ôn theo sheet DUE</t>
        </is>
      </c>
      <c r="M155" s="3" t="inlineStr">
        <is>
          <t xml:space="preserve">Nói lại 5 câu của tuần</t>
        </is>
      </c>
      <c r="N155" s="3" t="inlineStr">
        <is>
          <t xml:space="preserve">Đọc lại văn bản tuần</t>
        </is>
      </c>
      <c r="O155" s="3" t="inlineStr">
        <is>
          <t xml:space="preserve">Viết lại đoạn đã sửa</t>
        </is>
      </c>
      <c r="P155" t="inlineStr">
        <is>
          <t xml:space="preserve">—</t>
        </is>
      </c>
      <c r="Q155">
        <v>60</v>
      </c>
      <c r="R155" s="3" t="inlineStr">
        <is>
          <t xml:space="preserve">Test tuần 22</t>
        </is>
      </c>
      <c r="S155">
        <f>IF(PROGRESS!$E155="Yes","Xong","Chưa làm")</f>
      </c>
      <c r="T155" s="3" t="inlineStr">
        <is>
          <t xml:space="preserve">ngày ôn, không thêm từ</t>
        </is>
      </c>
    </row>
    <row r="156">
      <c r="A156">
        <v>155</v>
      </c>
      <c r="B156" s="2">
        <v>46454</v>
      </c>
      <c r="C156">
        <v>23</v>
      </c>
      <c r="D156" t="inlineStr">
        <is>
          <t xml:space="preserve">B1</t>
        </is>
      </c>
      <c r="E156" s="3" t="inlineStr">
        <is>
          <t xml:space="preserve">Listening &amp; speaking intensive</t>
        </is>
      </c>
      <c r="F156" t="inlineStr">
        <is>
          <t xml:space="preserve">New concept</t>
        </is>
      </c>
      <c r="G156" t="inlineStr">
        <is>
          <t xml:space="preserve">B1-035</t>
        </is>
      </c>
      <c r="H156" s="3" t="inlineStr">
        <is>
          <t xml:space="preserve">Opinion paragraph</t>
        </is>
      </c>
      <c r="I156" s="3" t="inlineStr">
        <is>
          <t xml:space="preserve">GB15 Linking phrases for speaking &amp; writing</t>
        </is>
      </c>
      <c r="J156" s="3" t="inlineStr">
        <is>
          <t xml:space="preserve">—</t>
        </is>
      </c>
      <c r="K156">
        <v>0</v>
      </c>
      <c r="L156" s="3" t="inlineStr">
        <is>
          <t xml:space="preserve">short talk</t>
        </is>
      </c>
      <c r="M156" s="3" t="inlineStr">
        <is>
          <t xml:space="preserve">give your opinion</t>
        </is>
      </c>
      <c r="N156" s="3" t="inlineStr">
        <is>
          <t xml:space="preserve">opinion article</t>
        </is>
      </c>
      <c r="O156" s="3" t="inlineStr">
        <is>
          <t xml:space="preserve">150-word paragraph</t>
        </is>
      </c>
      <c r="P156" t="inlineStr">
        <is>
          <t xml:space="preserve">E009, E010</t>
        </is>
      </c>
      <c r="Q156">
        <v>60</v>
      </c>
      <c r="R156" s="3" t="inlineStr">
        <is>
          <t xml:space="preserve">—</t>
        </is>
      </c>
      <c r="S156">
        <f>IF(PROGRESS!$E156="Yes","Xong","Chưa làm")</f>
      </c>
      <c r="T156" s="3" t="inlineStr">
        <is>
          <t xml:space="preserve">CHỜ NẠP TỪ: thiếu 14</t>
        </is>
      </c>
    </row>
    <row r="157">
      <c r="A157">
        <v>156</v>
      </c>
      <c r="B157" s="2">
        <v>46455</v>
      </c>
      <c r="C157">
        <v>23</v>
      </c>
      <c r="D157" t="inlineStr">
        <is>
          <t xml:space="preserve">B1</t>
        </is>
      </c>
      <c r="E157" s="3" t="inlineStr">
        <is>
          <t xml:space="preserve">Listening &amp; speaking intensive</t>
        </is>
      </c>
      <c r="F157" t="inlineStr">
        <is>
          <t xml:space="preserve">Guided practice</t>
        </is>
      </c>
      <c r="G157" t="inlineStr">
        <is>
          <t xml:space="preserve">B1-035</t>
        </is>
      </c>
      <c r="H157" s="3" t="inlineStr">
        <is>
          <t xml:space="preserve">Opinion paragraph</t>
        </is>
      </c>
      <c r="I157" s="3" t="inlineStr">
        <is>
          <t xml:space="preserve">GB15 Linking phrases for speaking &amp; writing</t>
        </is>
      </c>
      <c r="J157" s="3" t="inlineStr">
        <is>
          <t xml:space="preserve">—</t>
        </is>
      </c>
      <c r="K157">
        <v>0</v>
      </c>
      <c r="L157" s="3" t="inlineStr">
        <is>
          <t xml:space="preserve">short talk</t>
        </is>
      </c>
      <c r="M157" s="3" t="inlineStr">
        <is>
          <t xml:space="preserve">give your opinion</t>
        </is>
      </c>
      <c r="N157" s="3" t="inlineStr">
        <is>
          <t xml:space="preserve">opinion article</t>
        </is>
      </c>
      <c r="O157" s="3" t="inlineStr">
        <is>
          <t xml:space="preserve">150-word paragraph</t>
        </is>
      </c>
      <c r="P157" t="inlineStr">
        <is>
          <t xml:space="preserve">E009, E010</t>
        </is>
      </c>
      <c r="Q157">
        <v>60</v>
      </c>
      <c r="R157" s="3" t="inlineStr">
        <is>
          <t xml:space="preserve">—</t>
        </is>
      </c>
      <c r="S157">
        <f>IF(PROGRESS!$E157="Yes","Xong","Chưa làm")</f>
      </c>
      <c r="T157" s="3" t="inlineStr">
        <is>
          <t xml:space="preserve">CHỜ NẠP TỪ: thiếu 14</t>
        </is>
      </c>
    </row>
    <row r="158">
      <c r="A158">
        <v>157</v>
      </c>
      <c r="B158" s="2">
        <v>46456</v>
      </c>
      <c r="C158">
        <v>23</v>
      </c>
      <c r="D158" t="inlineStr">
        <is>
          <t xml:space="preserve">B1</t>
        </is>
      </c>
      <c r="E158" s="3" t="inlineStr">
        <is>
          <t xml:space="preserve">Listening &amp; speaking intensive</t>
        </is>
      </c>
      <c r="F158" t="inlineStr">
        <is>
          <t xml:space="preserve">Listening + shadowing</t>
        </is>
      </c>
      <c r="G158" t="inlineStr">
        <is>
          <t xml:space="preserve">B1-035</t>
        </is>
      </c>
      <c r="H158" s="3" t="inlineStr">
        <is>
          <t xml:space="preserve">Opinion paragraph</t>
        </is>
      </c>
      <c r="I158" s="3" t="inlineStr">
        <is>
          <t xml:space="preserve">GB15 Linking phrases for speaking &amp; writing</t>
        </is>
      </c>
      <c r="J158" s="3" t="inlineStr">
        <is>
          <t xml:space="preserve">—</t>
        </is>
      </c>
      <c r="K158">
        <v>0</v>
      </c>
      <c r="L158" s="3" t="inlineStr">
        <is>
          <t xml:space="preserve">short talk</t>
        </is>
      </c>
      <c r="M158" s="3" t="inlineStr">
        <is>
          <t xml:space="preserve">give your opinion</t>
        </is>
      </c>
      <c r="N158" s="3" t="inlineStr">
        <is>
          <t xml:space="preserve">opinion article</t>
        </is>
      </c>
      <c r="O158" s="3" t="inlineStr">
        <is>
          <t xml:space="preserve">150-word paragraph</t>
        </is>
      </c>
      <c r="P158" t="inlineStr">
        <is>
          <t xml:space="preserve">E009, E010</t>
        </is>
      </c>
      <c r="Q158">
        <v>60</v>
      </c>
      <c r="R158" s="3" t="inlineStr">
        <is>
          <t xml:space="preserve">—</t>
        </is>
      </c>
      <c r="S158">
        <f>IF(PROGRESS!$E158="Yes","Xong","Chưa làm")</f>
      </c>
      <c r="T158" s="3" t="inlineStr">
        <is>
          <t xml:space="preserve">CHỜ NẠP TỪ: thiếu 14</t>
        </is>
      </c>
    </row>
    <row r="159">
      <c r="A159">
        <v>158</v>
      </c>
      <c r="B159" s="2">
        <v>46457</v>
      </c>
      <c r="C159">
        <v>23</v>
      </c>
      <c r="D159" t="inlineStr">
        <is>
          <t xml:space="preserve">B1</t>
        </is>
      </c>
      <c r="E159" s="3" t="inlineStr">
        <is>
          <t xml:space="preserve">Listening &amp; speaking intensive</t>
        </is>
      </c>
      <c r="F159" t="inlineStr">
        <is>
          <t xml:space="preserve">Speaking drill</t>
        </is>
      </c>
      <c r="G159" t="inlineStr">
        <is>
          <t xml:space="preserve">B1-035</t>
        </is>
      </c>
      <c r="H159" s="3" t="inlineStr">
        <is>
          <t xml:space="preserve">Opinion paragraph</t>
        </is>
      </c>
      <c r="I159" s="3" t="inlineStr">
        <is>
          <t xml:space="preserve">GB15 Linking phrases for speaking &amp; writing</t>
        </is>
      </c>
      <c r="J159" s="3" t="inlineStr">
        <is>
          <t xml:space="preserve">—</t>
        </is>
      </c>
      <c r="K159">
        <v>0</v>
      </c>
      <c r="L159" s="3" t="inlineStr">
        <is>
          <t xml:space="preserve">short talk</t>
        </is>
      </c>
      <c r="M159" s="3" t="inlineStr">
        <is>
          <t xml:space="preserve">give your opinion</t>
        </is>
      </c>
      <c r="N159" s="3" t="inlineStr">
        <is>
          <t xml:space="preserve">opinion article</t>
        </is>
      </c>
      <c r="O159" s="3" t="inlineStr">
        <is>
          <t xml:space="preserve">150-word paragraph</t>
        </is>
      </c>
      <c r="P159" t="inlineStr">
        <is>
          <t xml:space="preserve">E009, E010</t>
        </is>
      </c>
      <c r="Q159">
        <v>60</v>
      </c>
      <c r="R159" s="3" t="inlineStr">
        <is>
          <t xml:space="preserve">—</t>
        </is>
      </c>
      <c r="S159">
        <f>IF(PROGRESS!$E159="Yes","Xong","Chưa làm")</f>
      </c>
      <c r="T159" s="3" t="inlineStr">
        <is>
          <t xml:space="preserve">CHỜ NẠP TỪ: thiếu 14</t>
        </is>
      </c>
    </row>
    <row r="160">
      <c r="A160">
        <v>159</v>
      </c>
      <c r="B160" s="2">
        <v>46458</v>
      </c>
      <c r="C160">
        <v>23</v>
      </c>
      <c r="D160" t="inlineStr">
        <is>
          <t xml:space="preserve">B1</t>
        </is>
      </c>
      <c r="E160" s="3" t="inlineStr">
        <is>
          <t xml:space="preserve">Listening &amp; speaking intensive</t>
        </is>
      </c>
      <c r="F160" t="inlineStr">
        <is>
          <t xml:space="preserve">Reading + vocabulary</t>
        </is>
      </c>
      <c r="G160" t="inlineStr">
        <is>
          <t xml:space="preserve">B1-035</t>
        </is>
      </c>
      <c r="H160" s="3" t="inlineStr">
        <is>
          <t xml:space="preserve">Opinion paragraph</t>
        </is>
      </c>
      <c r="I160" s="3" t="inlineStr">
        <is>
          <t xml:space="preserve">GB15 Linking phrases for speaking &amp; writing</t>
        </is>
      </c>
      <c r="J160" s="3" t="inlineStr">
        <is>
          <t xml:space="preserve">—</t>
        </is>
      </c>
      <c r="K160">
        <v>0</v>
      </c>
      <c r="L160" s="3" t="inlineStr">
        <is>
          <t xml:space="preserve">short talk</t>
        </is>
      </c>
      <c r="M160" s="3" t="inlineStr">
        <is>
          <t xml:space="preserve">give your opinion</t>
        </is>
      </c>
      <c r="N160" s="3" t="inlineStr">
        <is>
          <t xml:space="preserve">opinion article</t>
        </is>
      </c>
      <c r="O160" s="3" t="inlineStr">
        <is>
          <t xml:space="preserve">150-word paragraph</t>
        </is>
      </c>
      <c r="P160" t="inlineStr">
        <is>
          <t xml:space="preserve">E009, E010</t>
        </is>
      </c>
      <c r="Q160">
        <v>60</v>
      </c>
      <c r="R160" s="3" t="inlineStr">
        <is>
          <t xml:space="preserve">—</t>
        </is>
      </c>
      <c r="S160">
        <f>IF(PROGRESS!$E160="Yes","Xong","Chưa làm")</f>
      </c>
      <c r="T160" s="3" t="inlineStr">
        <is>
          <t xml:space="preserve">CHỜ NẠP TỪ: thiếu 14</t>
        </is>
      </c>
    </row>
    <row r="161">
      <c r="A161">
        <v>160</v>
      </c>
      <c r="B161" s="2">
        <v>46459</v>
      </c>
      <c r="C161">
        <v>23</v>
      </c>
      <c r="D161" t="inlineStr">
        <is>
          <t xml:space="preserve">B1</t>
        </is>
      </c>
      <c r="E161" s="3" t="inlineStr">
        <is>
          <t xml:space="preserve">Listening &amp; speaking intensive</t>
        </is>
      </c>
      <c r="F161" t="inlineStr">
        <is>
          <t xml:space="preserve">Writing + correction</t>
        </is>
      </c>
      <c r="G161" t="inlineStr">
        <is>
          <t xml:space="preserve">B1-035</t>
        </is>
      </c>
      <c r="H161" s="3" t="inlineStr">
        <is>
          <t xml:space="preserve">Opinion paragraph</t>
        </is>
      </c>
      <c r="I161" s="3" t="inlineStr">
        <is>
          <t xml:space="preserve">GB15 Linking phrases for speaking &amp; writing</t>
        </is>
      </c>
      <c r="J161" s="3" t="inlineStr">
        <is>
          <t xml:space="preserve">—</t>
        </is>
      </c>
      <c r="K161">
        <v>0</v>
      </c>
      <c r="L161" s="3" t="inlineStr">
        <is>
          <t xml:space="preserve">short talk</t>
        </is>
      </c>
      <c r="M161" s="3" t="inlineStr">
        <is>
          <t xml:space="preserve">give your opinion</t>
        </is>
      </c>
      <c r="N161" s="3" t="inlineStr">
        <is>
          <t xml:space="preserve">opinion article</t>
        </is>
      </c>
      <c r="O161" s="3" t="inlineStr">
        <is>
          <t xml:space="preserve">150-word paragraph</t>
        </is>
      </c>
      <c r="P161" t="inlineStr">
        <is>
          <t xml:space="preserve">E009, E010</t>
        </is>
      </c>
      <c r="Q161">
        <v>60</v>
      </c>
      <c r="R161" s="3" t="inlineStr">
        <is>
          <t xml:space="preserve">—</t>
        </is>
      </c>
      <c r="S161">
        <f>IF(PROGRESS!$E161="Yes","Xong","Chưa làm")</f>
      </c>
      <c r="T161" s="3" t="inlineStr">
        <is>
          <t xml:space="preserve">CHỜ NẠP TỪ: thiếu 14</t>
        </is>
      </c>
    </row>
    <row r="162">
      <c r="A162">
        <v>161</v>
      </c>
      <c r="B162" s="2">
        <v>46460</v>
      </c>
      <c r="C162">
        <v>23</v>
      </c>
      <c r="D162" t="inlineStr">
        <is>
          <t xml:space="preserve">B1</t>
        </is>
      </c>
      <c r="E162" s="3" t="inlineStr">
        <is>
          <t xml:space="preserve">Listening &amp; speaking intensive</t>
        </is>
      </c>
      <c r="F162" t="inlineStr">
        <is>
          <t xml:space="preserve">Weekly review</t>
        </is>
      </c>
      <c r="G162" t="inlineStr">
        <is>
          <t xml:space="preserve">—</t>
        </is>
      </c>
      <c r="H162" s="3" t="inlineStr">
        <is>
          <t xml:space="preserve">Ôn tổng hợp tuần 23</t>
        </is>
      </c>
      <c r="I162" s="3" t="inlineStr">
        <is>
          <t xml:space="preserve">—</t>
        </is>
      </c>
      <c r="J162" s="3" t="inlineStr">
        <is>
          <t xml:space="preserve">—</t>
        </is>
      </c>
      <c r="K162">
        <v>0</v>
      </c>
      <c r="L162" s="3" t="inlineStr">
        <is>
          <t xml:space="preserve">Ôn theo sheet DUE</t>
        </is>
      </c>
      <c r="M162" s="3" t="inlineStr">
        <is>
          <t xml:space="preserve">Nói lại 5 câu của tuần</t>
        </is>
      </c>
      <c r="N162" s="3" t="inlineStr">
        <is>
          <t xml:space="preserve">Đọc lại văn bản tuần</t>
        </is>
      </c>
      <c r="O162" s="3" t="inlineStr">
        <is>
          <t xml:space="preserve">Viết lại đoạn đã sửa</t>
        </is>
      </c>
      <c r="P162" t="inlineStr">
        <is>
          <t xml:space="preserve">E009, E010</t>
        </is>
      </c>
      <c r="Q162">
        <v>60</v>
      </c>
      <c r="R162" s="3" t="inlineStr">
        <is>
          <t xml:space="preserve">Test tuần 23</t>
        </is>
      </c>
      <c r="S162">
        <f>IF(PROGRESS!$E162="Yes","Xong","Chưa làm")</f>
      </c>
      <c r="T162" s="3" t="inlineStr">
        <is>
          <t xml:space="preserve">ngày ôn, không thêm từ</t>
        </is>
      </c>
    </row>
    <row r="163">
      <c r="A163">
        <v>162</v>
      </c>
      <c r="B163" s="2">
        <v>46461</v>
      </c>
      <c r="C163">
        <v>24</v>
      </c>
      <c r="D163" t="inlineStr">
        <is>
          <t xml:space="preserve">B1</t>
        </is>
      </c>
      <c r="E163" s="3" t="inlineStr">
        <is>
          <t xml:space="preserve">Reading &amp; writing intensive</t>
        </is>
      </c>
      <c r="F163" t="inlineStr">
        <is>
          <t xml:space="preserve">New concept</t>
        </is>
      </c>
      <c r="G163" t="inlineStr">
        <is>
          <t xml:space="preserve">B1-035</t>
        </is>
      </c>
      <c r="H163" s="3" t="inlineStr">
        <is>
          <t xml:space="preserve">Opinion paragraph</t>
        </is>
      </c>
      <c r="I163" s="3" t="inlineStr">
        <is>
          <t xml:space="preserve">GB15 Linking phrases for speaking &amp; writing</t>
        </is>
      </c>
      <c r="J163" s="3" t="inlineStr">
        <is>
          <t xml:space="preserve">—</t>
        </is>
      </c>
      <c r="K163">
        <v>0</v>
      </c>
      <c r="L163" s="3" t="inlineStr">
        <is>
          <t xml:space="preserve">short talk</t>
        </is>
      </c>
      <c r="M163" s="3" t="inlineStr">
        <is>
          <t xml:space="preserve">give your opinion</t>
        </is>
      </c>
      <c r="N163" s="3" t="inlineStr">
        <is>
          <t xml:space="preserve">opinion article</t>
        </is>
      </c>
      <c r="O163" s="3" t="inlineStr">
        <is>
          <t xml:space="preserve">150-word paragraph</t>
        </is>
      </c>
      <c r="P163" t="inlineStr">
        <is>
          <t xml:space="preserve">E009, E010</t>
        </is>
      </c>
      <c r="Q163">
        <v>60</v>
      </c>
      <c r="R163" s="3" t="inlineStr">
        <is>
          <t xml:space="preserve">—</t>
        </is>
      </c>
      <c r="S163">
        <f>IF(PROGRESS!$E163="Yes","Xong","Chưa làm")</f>
      </c>
      <c r="T163" s="3" t="inlineStr">
        <is>
          <t xml:space="preserve">CHỜ NẠP TỪ: thiếu 14</t>
        </is>
      </c>
    </row>
    <row r="164">
      <c r="A164">
        <v>163</v>
      </c>
      <c r="B164" s="2">
        <v>46462</v>
      </c>
      <c r="C164">
        <v>24</v>
      </c>
      <c r="D164" t="inlineStr">
        <is>
          <t xml:space="preserve">B1</t>
        </is>
      </c>
      <c r="E164" s="3" t="inlineStr">
        <is>
          <t xml:space="preserve">Reading &amp; writing intensive</t>
        </is>
      </c>
      <c r="F164" t="inlineStr">
        <is>
          <t xml:space="preserve">Guided practice</t>
        </is>
      </c>
      <c r="G164" t="inlineStr">
        <is>
          <t xml:space="preserve">B1-035</t>
        </is>
      </c>
      <c r="H164" s="3" t="inlineStr">
        <is>
          <t xml:space="preserve">Opinion paragraph</t>
        </is>
      </c>
      <c r="I164" s="3" t="inlineStr">
        <is>
          <t xml:space="preserve">GB15 Linking phrases for speaking &amp; writing</t>
        </is>
      </c>
      <c r="J164" s="3" t="inlineStr">
        <is>
          <t xml:space="preserve">—</t>
        </is>
      </c>
      <c r="K164">
        <v>0</v>
      </c>
      <c r="L164" s="3" t="inlineStr">
        <is>
          <t xml:space="preserve">short talk</t>
        </is>
      </c>
      <c r="M164" s="3" t="inlineStr">
        <is>
          <t xml:space="preserve">give your opinion</t>
        </is>
      </c>
      <c r="N164" s="3" t="inlineStr">
        <is>
          <t xml:space="preserve">opinion article</t>
        </is>
      </c>
      <c r="O164" s="3" t="inlineStr">
        <is>
          <t xml:space="preserve">150-word paragraph</t>
        </is>
      </c>
      <c r="P164" t="inlineStr">
        <is>
          <t xml:space="preserve">E009, E010</t>
        </is>
      </c>
      <c r="Q164">
        <v>60</v>
      </c>
      <c r="R164" s="3" t="inlineStr">
        <is>
          <t xml:space="preserve">—</t>
        </is>
      </c>
      <c r="S164">
        <f>IF(PROGRESS!$E164="Yes","Xong","Chưa làm")</f>
      </c>
      <c r="T164" s="3" t="inlineStr">
        <is>
          <t xml:space="preserve">CHỜ NẠP TỪ: thiếu 14</t>
        </is>
      </c>
    </row>
    <row r="165">
      <c r="A165">
        <v>164</v>
      </c>
      <c r="B165" s="2">
        <v>46463</v>
      </c>
      <c r="C165">
        <v>24</v>
      </c>
      <c r="D165" t="inlineStr">
        <is>
          <t xml:space="preserve">B1</t>
        </is>
      </c>
      <c r="E165" s="3" t="inlineStr">
        <is>
          <t xml:space="preserve">Reading &amp; writing intensive</t>
        </is>
      </c>
      <c r="F165" t="inlineStr">
        <is>
          <t xml:space="preserve">Listening + shadowing</t>
        </is>
      </c>
      <c r="G165" t="inlineStr">
        <is>
          <t xml:space="preserve">B1-035</t>
        </is>
      </c>
      <c r="H165" s="3" t="inlineStr">
        <is>
          <t xml:space="preserve">Opinion paragraph</t>
        </is>
      </c>
      <c r="I165" s="3" t="inlineStr">
        <is>
          <t xml:space="preserve">GB15 Linking phrases for speaking &amp; writing</t>
        </is>
      </c>
      <c r="J165" s="3" t="inlineStr">
        <is>
          <t xml:space="preserve">—</t>
        </is>
      </c>
      <c r="K165">
        <v>0</v>
      </c>
      <c r="L165" s="3" t="inlineStr">
        <is>
          <t xml:space="preserve">short talk</t>
        </is>
      </c>
      <c r="M165" s="3" t="inlineStr">
        <is>
          <t xml:space="preserve">give your opinion</t>
        </is>
      </c>
      <c r="N165" s="3" t="inlineStr">
        <is>
          <t xml:space="preserve">opinion article</t>
        </is>
      </c>
      <c r="O165" s="3" t="inlineStr">
        <is>
          <t xml:space="preserve">150-word paragraph</t>
        </is>
      </c>
      <c r="P165" t="inlineStr">
        <is>
          <t xml:space="preserve">E009, E010</t>
        </is>
      </c>
      <c r="Q165">
        <v>60</v>
      </c>
      <c r="R165" s="3" t="inlineStr">
        <is>
          <t xml:space="preserve">—</t>
        </is>
      </c>
      <c r="S165">
        <f>IF(PROGRESS!$E165="Yes","Xong","Chưa làm")</f>
      </c>
      <c r="T165" s="3" t="inlineStr">
        <is>
          <t xml:space="preserve">CHỜ NẠP TỪ: thiếu 14</t>
        </is>
      </c>
    </row>
    <row r="166">
      <c r="A166">
        <v>165</v>
      </c>
      <c r="B166" s="2">
        <v>46464</v>
      </c>
      <c r="C166">
        <v>24</v>
      </c>
      <c r="D166" t="inlineStr">
        <is>
          <t xml:space="preserve">B1</t>
        </is>
      </c>
      <c r="E166" s="3" t="inlineStr">
        <is>
          <t xml:space="preserve">Reading &amp; writing intensive</t>
        </is>
      </c>
      <c r="F166" t="inlineStr">
        <is>
          <t xml:space="preserve">Speaking drill</t>
        </is>
      </c>
      <c r="G166" t="inlineStr">
        <is>
          <t xml:space="preserve">B1-035</t>
        </is>
      </c>
      <c r="H166" s="3" t="inlineStr">
        <is>
          <t xml:space="preserve">Opinion paragraph</t>
        </is>
      </c>
      <c r="I166" s="3" t="inlineStr">
        <is>
          <t xml:space="preserve">GB15 Linking phrases for speaking &amp; writing</t>
        </is>
      </c>
      <c r="J166" s="3" t="inlineStr">
        <is>
          <t xml:space="preserve">—</t>
        </is>
      </c>
      <c r="K166">
        <v>0</v>
      </c>
      <c r="L166" s="3" t="inlineStr">
        <is>
          <t xml:space="preserve">short talk</t>
        </is>
      </c>
      <c r="M166" s="3" t="inlineStr">
        <is>
          <t xml:space="preserve">give your opinion</t>
        </is>
      </c>
      <c r="N166" s="3" t="inlineStr">
        <is>
          <t xml:space="preserve">opinion article</t>
        </is>
      </c>
      <c r="O166" s="3" t="inlineStr">
        <is>
          <t xml:space="preserve">150-word paragraph</t>
        </is>
      </c>
      <c r="P166" t="inlineStr">
        <is>
          <t xml:space="preserve">E009, E010</t>
        </is>
      </c>
      <c r="Q166">
        <v>60</v>
      </c>
      <c r="R166" s="3" t="inlineStr">
        <is>
          <t xml:space="preserve">—</t>
        </is>
      </c>
      <c r="S166">
        <f>IF(PROGRESS!$E166="Yes","Xong","Chưa làm")</f>
      </c>
      <c r="T166" s="3" t="inlineStr">
        <is>
          <t xml:space="preserve">CHỜ NẠP TỪ: thiếu 14</t>
        </is>
      </c>
    </row>
    <row r="167">
      <c r="A167">
        <v>166</v>
      </c>
      <c r="B167" s="2">
        <v>46465</v>
      </c>
      <c r="C167">
        <v>24</v>
      </c>
      <c r="D167" t="inlineStr">
        <is>
          <t xml:space="preserve">B1</t>
        </is>
      </c>
      <c r="E167" s="3" t="inlineStr">
        <is>
          <t xml:space="preserve">Reading &amp; writing intensive</t>
        </is>
      </c>
      <c r="F167" t="inlineStr">
        <is>
          <t xml:space="preserve">Reading + vocabulary</t>
        </is>
      </c>
      <c r="G167" t="inlineStr">
        <is>
          <t xml:space="preserve">B1-035</t>
        </is>
      </c>
      <c r="H167" s="3" t="inlineStr">
        <is>
          <t xml:space="preserve">Opinion paragraph</t>
        </is>
      </c>
      <c r="I167" s="3" t="inlineStr">
        <is>
          <t xml:space="preserve">GB15 Linking phrases for speaking &amp; writing</t>
        </is>
      </c>
      <c r="J167" s="3" t="inlineStr">
        <is>
          <t xml:space="preserve">—</t>
        </is>
      </c>
      <c r="K167">
        <v>0</v>
      </c>
      <c r="L167" s="3" t="inlineStr">
        <is>
          <t xml:space="preserve">short talk</t>
        </is>
      </c>
      <c r="M167" s="3" t="inlineStr">
        <is>
          <t xml:space="preserve">give your opinion</t>
        </is>
      </c>
      <c r="N167" s="3" t="inlineStr">
        <is>
          <t xml:space="preserve">opinion article</t>
        </is>
      </c>
      <c r="O167" s="3" t="inlineStr">
        <is>
          <t xml:space="preserve">150-word paragraph</t>
        </is>
      </c>
      <c r="P167" t="inlineStr">
        <is>
          <t xml:space="preserve">E009, E010</t>
        </is>
      </c>
      <c r="Q167">
        <v>60</v>
      </c>
      <c r="R167" s="3" t="inlineStr">
        <is>
          <t xml:space="preserve">—</t>
        </is>
      </c>
      <c r="S167">
        <f>IF(PROGRESS!$E167="Yes","Xong","Chưa làm")</f>
      </c>
      <c r="T167" s="3" t="inlineStr">
        <is>
          <t xml:space="preserve">CHỜ NẠP TỪ: thiếu 14</t>
        </is>
      </c>
    </row>
    <row r="168">
      <c r="A168">
        <v>167</v>
      </c>
      <c r="B168" s="2">
        <v>46466</v>
      </c>
      <c r="C168">
        <v>24</v>
      </c>
      <c r="D168" t="inlineStr">
        <is>
          <t xml:space="preserve">B1</t>
        </is>
      </c>
      <c r="E168" s="3" t="inlineStr">
        <is>
          <t xml:space="preserve">Reading &amp; writing intensive</t>
        </is>
      </c>
      <c r="F168" t="inlineStr">
        <is>
          <t xml:space="preserve">Writing + correction</t>
        </is>
      </c>
      <c r="G168" t="inlineStr">
        <is>
          <t xml:space="preserve">B1-035</t>
        </is>
      </c>
      <c r="H168" s="3" t="inlineStr">
        <is>
          <t xml:space="preserve">Opinion paragraph</t>
        </is>
      </c>
      <c r="I168" s="3" t="inlineStr">
        <is>
          <t xml:space="preserve">GB15 Linking phrases for speaking &amp; writing</t>
        </is>
      </c>
      <c r="J168" s="3" t="inlineStr">
        <is>
          <t xml:space="preserve">—</t>
        </is>
      </c>
      <c r="K168">
        <v>0</v>
      </c>
      <c r="L168" s="3" t="inlineStr">
        <is>
          <t xml:space="preserve">short talk</t>
        </is>
      </c>
      <c r="M168" s="3" t="inlineStr">
        <is>
          <t xml:space="preserve">give your opinion</t>
        </is>
      </c>
      <c r="N168" s="3" t="inlineStr">
        <is>
          <t xml:space="preserve">opinion article</t>
        </is>
      </c>
      <c r="O168" s="3" t="inlineStr">
        <is>
          <t xml:space="preserve">150-word paragraph</t>
        </is>
      </c>
      <c r="P168" t="inlineStr">
        <is>
          <t xml:space="preserve">E009, E010</t>
        </is>
      </c>
      <c r="Q168">
        <v>60</v>
      </c>
      <c r="R168" s="3" t="inlineStr">
        <is>
          <t xml:space="preserve">—</t>
        </is>
      </c>
      <c r="S168">
        <f>IF(PROGRESS!$E168="Yes","Xong","Chưa làm")</f>
      </c>
      <c r="T168" s="3" t="inlineStr">
        <is>
          <t xml:space="preserve">CHỜ NẠP TỪ: thiếu 14</t>
        </is>
      </c>
    </row>
    <row r="169">
      <c r="A169">
        <v>168</v>
      </c>
      <c r="B169" s="2">
        <v>46467</v>
      </c>
      <c r="C169">
        <v>24</v>
      </c>
      <c r="D169" t="inlineStr">
        <is>
          <t xml:space="preserve">B1</t>
        </is>
      </c>
      <c r="E169" s="3" t="inlineStr">
        <is>
          <t xml:space="preserve">Reading &amp; writing intensive</t>
        </is>
      </c>
      <c r="F169" t="inlineStr">
        <is>
          <t xml:space="preserve">Weekly review</t>
        </is>
      </c>
      <c r="G169" t="inlineStr">
        <is>
          <t xml:space="preserve">—</t>
        </is>
      </c>
      <c r="H169" s="3" t="inlineStr">
        <is>
          <t xml:space="preserve">Ôn tổng hợp tuần 24</t>
        </is>
      </c>
      <c r="I169" s="3" t="inlineStr">
        <is>
          <t xml:space="preserve">—</t>
        </is>
      </c>
      <c r="J169" s="3" t="inlineStr">
        <is>
          <t xml:space="preserve">—</t>
        </is>
      </c>
      <c r="K169">
        <v>0</v>
      </c>
      <c r="L169" s="3" t="inlineStr">
        <is>
          <t xml:space="preserve">Ôn theo sheet DUE</t>
        </is>
      </c>
      <c r="M169" s="3" t="inlineStr">
        <is>
          <t xml:space="preserve">Nói lại 5 câu của tuần</t>
        </is>
      </c>
      <c r="N169" s="3" t="inlineStr">
        <is>
          <t xml:space="preserve">Đọc lại văn bản tuần</t>
        </is>
      </c>
      <c r="O169" s="3" t="inlineStr">
        <is>
          <t xml:space="preserve">Viết lại đoạn đã sửa</t>
        </is>
      </c>
      <c r="P169" t="inlineStr">
        <is>
          <t xml:space="preserve">E009, E010</t>
        </is>
      </c>
      <c r="Q169">
        <v>60</v>
      </c>
      <c r="R169" s="3" t="inlineStr">
        <is>
          <t xml:space="preserve">Test tuần 24</t>
        </is>
      </c>
      <c r="S169">
        <f>IF(PROGRESS!$E169="Yes","Xong","Chưa làm")</f>
      </c>
      <c r="T169" s="3" t="inlineStr">
        <is>
          <t xml:space="preserve">ngày ôn, không thêm từ</t>
        </is>
      </c>
    </row>
    <row r="170">
      <c r="A170">
        <v>169</v>
      </c>
      <c r="B170" s="2">
        <v>46468</v>
      </c>
      <c r="C170">
        <v>25</v>
      </c>
      <c r="D170" t="inlineStr">
        <is>
          <t xml:space="preserve">B1</t>
        </is>
      </c>
      <c r="E170" s="3" t="inlineStr">
        <is>
          <t xml:space="preserve">Full skill review</t>
        </is>
      </c>
      <c r="F170" t="inlineStr">
        <is>
          <t xml:space="preserve">New concept</t>
        </is>
      </c>
      <c r="G170" t="inlineStr">
        <is>
          <t xml:space="preserve">—</t>
        </is>
      </c>
      <c r="H170" s="3" t="inlineStr">
        <is>
          <t xml:space="preserve">—</t>
        </is>
      </c>
      <c r="I170" s="3" t="inlineStr">
        <is>
          <t xml:space="preserve">—</t>
        </is>
      </c>
      <c r="J170" s="3" t="inlineStr">
        <is>
          <t xml:space="preserve">—</t>
        </is>
      </c>
      <c r="K170">
        <v>0</v>
      </c>
      <c r="L170" s="3" t="inlineStr">
        <is>
          <t xml:space="preserve">Ôn theo sheet DUE</t>
        </is>
      </c>
      <c r="M170" s="3" t="inlineStr">
        <is>
          <t xml:space="preserve">Nói lại 5 câu của tuần</t>
        </is>
      </c>
      <c r="N170" s="3" t="inlineStr">
        <is>
          <t xml:space="preserve">Đọc lại văn bản tuần</t>
        </is>
      </c>
      <c r="O170" s="3" t="inlineStr">
        <is>
          <t xml:space="preserve">Viết lại đoạn đã sửa</t>
        </is>
      </c>
      <c r="P170" t="inlineStr">
        <is>
          <t xml:space="preserve">—</t>
        </is>
      </c>
      <c r="Q170">
        <v>60</v>
      </c>
      <c r="R170" s="3" t="inlineStr">
        <is>
          <t xml:space="preserve">—</t>
        </is>
      </c>
      <c r="S170">
        <f>IF(PROGRESS!$E170="Yes","Xong","Chưa làm")</f>
      </c>
      <c r="T170" s="3" t="inlineStr">
        <is>
          <t xml:space="preserve">đủ từ</t>
        </is>
      </c>
    </row>
    <row r="171">
      <c r="A171">
        <v>170</v>
      </c>
      <c r="B171" s="2">
        <v>46469</v>
      </c>
      <c r="C171">
        <v>25</v>
      </c>
      <c r="D171" t="inlineStr">
        <is>
          <t xml:space="preserve">B1</t>
        </is>
      </c>
      <c r="E171" s="3" t="inlineStr">
        <is>
          <t xml:space="preserve">Full skill review</t>
        </is>
      </c>
      <c r="F171" t="inlineStr">
        <is>
          <t xml:space="preserve">Guided practice</t>
        </is>
      </c>
      <c r="G171" t="inlineStr">
        <is>
          <t xml:space="preserve">—</t>
        </is>
      </c>
      <c r="H171" s="3" t="inlineStr">
        <is>
          <t xml:space="preserve">—</t>
        </is>
      </c>
      <c r="I171" s="3" t="inlineStr">
        <is>
          <t xml:space="preserve">—</t>
        </is>
      </c>
      <c r="J171" s="3" t="inlineStr">
        <is>
          <t xml:space="preserve">—</t>
        </is>
      </c>
      <c r="K171">
        <v>0</v>
      </c>
      <c r="L171" s="3" t="inlineStr">
        <is>
          <t xml:space="preserve">Ôn theo sheet DUE</t>
        </is>
      </c>
      <c r="M171" s="3" t="inlineStr">
        <is>
          <t xml:space="preserve">Nói lại 5 câu của tuần</t>
        </is>
      </c>
      <c r="N171" s="3" t="inlineStr">
        <is>
          <t xml:space="preserve">Đọc lại văn bản tuần</t>
        </is>
      </c>
      <c r="O171" s="3" t="inlineStr">
        <is>
          <t xml:space="preserve">Viết lại đoạn đã sửa</t>
        </is>
      </c>
      <c r="P171" t="inlineStr">
        <is>
          <t xml:space="preserve">—</t>
        </is>
      </c>
      <c r="Q171">
        <v>60</v>
      </c>
      <c r="R171" s="3" t="inlineStr">
        <is>
          <t xml:space="preserve">—</t>
        </is>
      </c>
      <c r="S171">
        <f>IF(PROGRESS!$E171="Yes","Xong","Chưa làm")</f>
      </c>
      <c r="T171" s="3" t="inlineStr">
        <is>
          <t xml:space="preserve">đủ từ</t>
        </is>
      </c>
    </row>
    <row r="172">
      <c r="A172">
        <v>171</v>
      </c>
      <c r="B172" s="2">
        <v>46470</v>
      </c>
      <c r="C172">
        <v>25</v>
      </c>
      <c r="D172" t="inlineStr">
        <is>
          <t xml:space="preserve">B1</t>
        </is>
      </c>
      <c r="E172" s="3" t="inlineStr">
        <is>
          <t xml:space="preserve">Full skill review</t>
        </is>
      </c>
      <c r="F172" t="inlineStr">
        <is>
          <t xml:space="preserve">Listening + shadowing</t>
        </is>
      </c>
      <c r="G172" t="inlineStr">
        <is>
          <t xml:space="preserve">—</t>
        </is>
      </c>
      <c r="H172" s="3" t="inlineStr">
        <is>
          <t xml:space="preserve">—</t>
        </is>
      </c>
      <c r="I172" s="3" t="inlineStr">
        <is>
          <t xml:space="preserve">—</t>
        </is>
      </c>
      <c r="J172" s="3" t="inlineStr">
        <is>
          <t xml:space="preserve">—</t>
        </is>
      </c>
      <c r="K172">
        <v>0</v>
      </c>
      <c r="L172" s="3" t="inlineStr">
        <is>
          <t xml:space="preserve">Ôn theo sheet DUE</t>
        </is>
      </c>
      <c r="M172" s="3" t="inlineStr">
        <is>
          <t xml:space="preserve">Nói lại 5 câu của tuần</t>
        </is>
      </c>
      <c r="N172" s="3" t="inlineStr">
        <is>
          <t xml:space="preserve">Đọc lại văn bản tuần</t>
        </is>
      </c>
      <c r="O172" s="3" t="inlineStr">
        <is>
          <t xml:space="preserve">Viết lại đoạn đã sửa</t>
        </is>
      </c>
      <c r="P172" t="inlineStr">
        <is>
          <t xml:space="preserve">—</t>
        </is>
      </c>
      <c r="Q172">
        <v>60</v>
      </c>
      <c r="R172" s="3" t="inlineStr">
        <is>
          <t xml:space="preserve">—</t>
        </is>
      </c>
      <c r="S172">
        <f>IF(PROGRESS!$E172="Yes","Xong","Chưa làm")</f>
      </c>
      <c r="T172" s="3" t="inlineStr">
        <is>
          <t xml:space="preserve">đủ từ</t>
        </is>
      </c>
    </row>
    <row r="173">
      <c r="A173">
        <v>172</v>
      </c>
      <c r="B173" s="2">
        <v>46471</v>
      </c>
      <c r="C173">
        <v>25</v>
      </c>
      <c r="D173" t="inlineStr">
        <is>
          <t xml:space="preserve">B1</t>
        </is>
      </c>
      <c r="E173" s="3" t="inlineStr">
        <is>
          <t xml:space="preserve">Full skill review</t>
        </is>
      </c>
      <c r="F173" t="inlineStr">
        <is>
          <t xml:space="preserve">Speaking drill</t>
        </is>
      </c>
      <c r="G173" t="inlineStr">
        <is>
          <t xml:space="preserve">—</t>
        </is>
      </c>
      <c r="H173" s="3" t="inlineStr">
        <is>
          <t xml:space="preserve">—</t>
        </is>
      </c>
      <c r="I173" s="3" t="inlineStr">
        <is>
          <t xml:space="preserve">—</t>
        </is>
      </c>
      <c r="J173" s="3" t="inlineStr">
        <is>
          <t xml:space="preserve">—</t>
        </is>
      </c>
      <c r="K173">
        <v>0</v>
      </c>
      <c r="L173" s="3" t="inlineStr">
        <is>
          <t xml:space="preserve">Ôn theo sheet DUE</t>
        </is>
      </c>
      <c r="M173" s="3" t="inlineStr">
        <is>
          <t xml:space="preserve">Nói lại 5 câu của tuần</t>
        </is>
      </c>
      <c r="N173" s="3" t="inlineStr">
        <is>
          <t xml:space="preserve">Đọc lại văn bản tuần</t>
        </is>
      </c>
      <c r="O173" s="3" t="inlineStr">
        <is>
          <t xml:space="preserve">Viết lại đoạn đã sửa</t>
        </is>
      </c>
      <c r="P173" t="inlineStr">
        <is>
          <t xml:space="preserve">—</t>
        </is>
      </c>
      <c r="Q173">
        <v>60</v>
      </c>
      <c r="R173" s="3" t="inlineStr">
        <is>
          <t xml:space="preserve">—</t>
        </is>
      </c>
      <c r="S173">
        <f>IF(PROGRESS!$E173="Yes","Xong","Chưa làm")</f>
      </c>
      <c r="T173" s="3" t="inlineStr">
        <is>
          <t xml:space="preserve">đủ từ</t>
        </is>
      </c>
    </row>
    <row r="174">
      <c r="A174">
        <v>173</v>
      </c>
      <c r="B174" s="2">
        <v>46472</v>
      </c>
      <c r="C174">
        <v>25</v>
      </c>
      <c r="D174" t="inlineStr">
        <is>
          <t xml:space="preserve">B1</t>
        </is>
      </c>
      <c r="E174" s="3" t="inlineStr">
        <is>
          <t xml:space="preserve">Full skill review</t>
        </is>
      </c>
      <c r="F174" t="inlineStr">
        <is>
          <t xml:space="preserve">Reading + vocabulary</t>
        </is>
      </c>
      <c r="G174" t="inlineStr">
        <is>
          <t xml:space="preserve">—</t>
        </is>
      </c>
      <c r="H174" s="3" t="inlineStr">
        <is>
          <t xml:space="preserve">—</t>
        </is>
      </c>
      <c r="I174" s="3" t="inlineStr">
        <is>
          <t xml:space="preserve">—</t>
        </is>
      </c>
      <c r="J174" s="3" t="inlineStr">
        <is>
          <t xml:space="preserve">—</t>
        </is>
      </c>
      <c r="K174">
        <v>0</v>
      </c>
      <c r="L174" s="3" t="inlineStr">
        <is>
          <t xml:space="preserve">Ôn theo sheet DUE</t>
        </is>
      </c>
      <c r="M174" s="3" t="inlineStr">
        <is>
          <t xml:space="preserve">Nói lại 5 câu của tuần</t>
        </is>
      </c>
      <c r="N174" s="3" t="inlineStr">
        <is>
          <t xml:space="preserve">Đọc lại văn bản tuần</t>
        </is>
      </c>
      <c r="O174" s="3" t="inlineStr">
        <is>
          <t xml:space="preserve">Viết lại đoạn đã sửa</t>
        </is>
      </c>
      <c r="P174" t="inlineStr">
        <is>
          <t xml:space="preserve">—</t>
        </is>
      </c>
      <c r="Q174">
        <v>60</v>
      </c>
      <c r="R174" s="3" t="inlineStr">
        <is>
          <t xml:space="preserve">—</t>
        </is>
      </c>
      <c r="S174">
        <f>IF(PROGRESS!$E174="Yes","Xong","Chưa làm")</f>
      </c>
      <c r="T174" s="3" t="inlineStr">
        <is>
          <t xml:space="preserve">đủ từ</t>
        </is>
      </c>
    </row>
    <row r="175">
      <c r="A175">
        <v>174</v>
      </c>
      <c r="B175" s="2">
        <v>46473</v>
      </c>
      <c r="C175">
        <v>25</v>
      </c>
      <c r="D175" t="inlineStr">
        <is>
          <t xml:space="preserve">B1</t>
        </is>
      </c>
      <c r="E175" s="3" t="inlineStr">
        <is>
          <t xml:space="preserve">Full skill review</t>
        </is>
      </c>
      <c r="F175" t="inlineStr">
        <is>
          <t xml:space="preserve">Writing + correction</t>
        </is>
      </c>
      <c r="G175" t="inlineStr">
        <is>
          <t xml:space="preserve">—</t>
        </is>
      </c>
      <c r="H175" s="3" t="inlineStr">
        <is>
          <t xml:space="preserve">—</t>
        </is>
      </c>
      <c r="I175" s="3" t="inlineStr">
        <is>
          <t xml:space="preserve">—</t>
        </is>
      </c>
      <c r="J175" s="3" t="inlineStr">
        <is>
          <t xml:space="preserve">—</t>
        </is>
      </c>
      <c r="K175">
        <v>0</v>
      </c>
      <c r="L175" s="3" t="inlineStr">
        <is>
          <t xml:space="preserve">Ôn theo sheet DUE</t>
        </is>
      </c>
      <c r="M175" s="3" t="inlineStr">
        <is>
          <t xml:space="preserve">Nói lại 5 câu của tuần</t>
        </is>
      </c>
      <c r="N175" s="3" t="inlineStr">
        <is>
          <t xml:space="preserve">Đọc lại văn bản tuần</t>
        </is>
      </c>
      <c r="O175" s="3" t="inlineStr">
        <is>
          <t xml:space="preserve">Viết lại đoạn đã sửa</t>
        </is>
      </c>
      <c r="P175" t="inlineStr">
        <is>
          <t xml:space="preserve">—</t>
        </is>
      </c>
      <c r="Q175">
        <v>60</v>
      </c>
      <c r="R175" s="3" t="inlineStr">
        <is>
          <t xml:space="preserve">—</t>
        </is>
      </c>
      <c r="S175">
        <f>IF(PROGRESS!$E175="Yes","Xong","Chưa làm")</f>
      </c>
      <c r="T175" s="3" t="inlineStr">
        <is>
          <t xml:space="preserve">đủ từ</t>
        </is>
      </c>
    </row>
    <row r="176">
      <c r="A176">
        <v>175</v>
      </c>
      <c r="B176" s="2">
        <v>46474</v>
      </c>
      <c r="C176">
        <v>25</v>
      </c>
      <c r="D176" t="inlineStr">
        <is>
          <t xml:space="preserve">B1</t>
        </is>
      </c>
      <c r="E176" s="3" t="inlineStr">
        <is>
          <t xml:space="preserve">Full skill review</t>
        </is>
      </c>
      <c r="F176" t="inlineStr">
        <is>
          <t xml:space="preserve">Weekly review</t>
        </is>
      </c>
      <c r="G176" t="inlineStr">
        <is>
          <t xml:space="preserve">—</t>
        </is>
      </c>
      <c r="H176" s="3" t="inlineStr">
        <is>
          <t xml:space="preserve">Ôn tổng hợp tuần 25</t>
        </is>
      </c>
      <c r="I176" s="3" t="inlineStr">
        <is>
          <t xml:space="preserve">—</t>
        </is>
      </c>
      <c r="J176" s="3" t="inlineStr">
        <is>
          <t xml:space="preserve">—</t>
        </is>
      </c>
      <c r="K176">
        <v>0</v>
      </c>
      <c r="L176" s="3" t="inlineStr">
        <is>
          <t xml:space="preserve">Ôn theo sheet DUE</t>
        </is>
      </c>
      <c r="M176" s="3" t="inlineStr">
        <is>
          <t xml:space="preserve">Nói lại 5 câu của tuần</t>
        </is>
      </c>
      <c r="N176" s="3" t="inlineStr">
        <is>
          <t xml:space="preserve">Đọc lại văn bản tuần</t>
        </is>
      </c>
      <c r="O176" s="3" t="inlineStr">
        <is>
          <t xml:space="preserve">Viết lại đoạn đã sửa</t>
        </is>
      </c>
      <c r="P176" t="inlineStr">
        <is>
          <t xml:space="preserve">—</t>
        </is>
      </c>
      <c r="Q176">
        <v>60</v>
      </c>
      <c r="R176" s="3" t="inlineStr">
        <is>
          <t xml:space="preserve">Test tuần 25</t>
        </is>
      </c>
      <c r="S176">
        <f>IF(PROGRESS!$E176="Yes","Xong","Chưa làm")</f>
      </c>
      <c r="T176" s="3" t="inlineStr">
        <is>
          <t xml:space="preserve">ngày ôn, không thêm từ</t>
        </is>
      </c>
    </row>
    <row r="177">
      <c r="A177">
        <v>176</v>
      </c>
      <c r="B177" s="2">
        <v>46475</v>
      </c>
      <c r="C177">
        <v>26</v>
      </c>
      <c r="D177" t="inlineStr">
        <is>
          <t xml:space="preserve">B1</t>
        </is>
      </c>
      <c r="E177" s="3" t="inlineStr">
        <is>
          <t xml:space="preserve">Final assessment &amp; consolidation</t>
        </is>
      </c>
      <c r="F177" t="inlineStr">
        <is>
          <t xml:space="preserve">New concept</t>
        </is>
      </c>
      <c r="G177" t="inlineStr">
        <is>
          <t xml:space="preserve">—</t>
        </is>
      </c>
      <c r="H177" s="3" t="inlineStr">
        <is>
          <t xml:space="preserve">—</t>
        </is>
      </c>
      <c r="I177" s="3" t="inlineStr">
        <is>
          <t xml:space="preserve">—</t>
        </is>
      </c>
      <c r="J177" s="3" t="inlineStr">
        <is>
          <t xml:space="preserve">—</t>
        </is>
      </c>
      <c r="K177">
        <v>0</v>
      </c>
      <c r="L177" s="3" t="inlineStr">
        <is>
          <t xml:space="preserve">Ôn theo sheet DUE</t>
        </is>
      </c>
      <c r="M177" s="3" t="inlineStr">
        <is>
          <t xml:space="preserve">Nói lại 5 câu của tuần</t>
        </is>
      </c>
      <c r="N177" s="3" t="inlineStr">
        <is>
          <t xml:space="preserve">Đọc lại văn bản tuần</t>
        </is>
      </c>
      <c r="O177" s="3" t="inlineStr">
        <is>
          <t xml:space="preserve">Viết lại đoạn đã sửa</t>
        </is>
      </c>
      <c r="P177" t="inlineStr">
        <is>
          <t xml:space="preserve">—</t>
        </is>
      </c>
      <c r="Q177">
        <v>60</v>
      </c>
      <c r="R177" s="3" t="inlineStr">
        <is>
          <t xml:space="preserve">—</t>
        </is>
      </c>
      <c r="S177">
        <f>IF(PROGRESS!$E177="Yes","Xong","Chưa làm")</f>
      </c>
      <c r="T177" s="3" t="inlineStr">
        <is>
          <t xml:space="preserve">đủ từ</t>
        </is>
      </c>
    </row>
    <row r="178">
      <c r="A178">
        <v>177</v>
      </c>
      <c r="B178" s="2">
        <v>46476</v>
      </c>
      <c r="C178">
        <v>26</v>
      </c>
      <c r="D178" t="inlineStr">
        <is>
          <t xml:space="preserve">B1</t>
        </is>
      </c>
      <c r="E178" s="3" t="inlineStr">
        <is>
          <t xml:space="preserve">Final assessment &amp; consolidation</t>
        </is>
      </c>
      <c r="F178" t="inlineStr">
        <is>
          <t xml:space="preserve">Guided practice</t>
        </is>
      </c>
      <c r="G178" t="inlineStr">
        <is>
          <t xml:space="preserve">—</t>
        </is>
      </c>
      <c r="H178" s="3" t="inlineStr">
        <is>
          <t xml:space="preserve">—</t>
        </is>
      </c>
      <c r="I178" s="3" t="inlineStr">
        <is>
          <t xml:space="preserve">—</t>
        </is>
      </c>
      <c r="J178" s="3" t="inlineStr">
        <is>
          <t xml:space="preserve">—</t>
        </is>
      </c>
      <c r="K178">
        <v>0</v>
      </c>
      <c r="L178" s="3" t="inlineStr">
        <is>
          <t xml:space="preserve">Ôn theo sheet DUE</t>
        </is>
      </c>
      <c r="M178" s="3" t="inlineStr">
        <is>
          <t xml:space="preserve">Nói lại 5 câu của tuần</t>
        </is>
      </c>
      <c r="N178" s="3" t="inlineStr">
        <is>
          <t xml:space="preserve">Đọc lại văn bản tuần</t>
        </is>
      </c>
      <c r="O178" s="3" t="inlineStr">
        <is>
          <t xml:space="preserve">Viết lại đoạn đã sửa</t>
        </is>
      </c>
      <c r="P178" t="inlineStr">
        <is>
          <t xml:space="preserve">—</t>
        </is>
      </c>
      <c r="Q178">
        <v>60</v>
      </c>
      <c r="R178" s="3" t="inlineStr">
        <is>
          <t xml:space="preserve">—</t>
        </is>
      </c>
      <c r="S178">
        <f>IF(PROGRESS!$E178="Yes","Xong","Chưa làm")</f>
      </c>
      <c r="T178" s="3" t="inlineStr">
        <is>
          <t xml:space="preserve">đủ từ</t>
        </is>
      </c>
    </row>
    <row r="179">
      <c r="A179">
        <v>178</v>
      </c>
      <c r="B179" s="2">
        <v>46477</v>
      </c>
      <c r="C179">
        <v>26</v>
      </c>
      <c r="D179" t="inlineStr">
        <is>
          <t xml:space="preserve">B1</t>
        </is>
      </c>
      <c r="E179" s="3" t="inlineStr">
        <is>
          <t xml:space="preserve">Final assessment &amp; consolidation</t>
        </is>
      </c>
      <c r="F179" t="inlineStr">
        <is>
          <t xml:space="preserve">Listening + shadowing</t>
        </is>
      </c>
      <c r="G179" t="inlineStr">
        <is>
          <t xml:space="preserve">—</t>
        </is>
      </c>
      <c r="H179" s="3" t="inlineStr">
        <is>
          <t xml:space="preserve">—</t>
        </is>
      </c>
      <c r="I179" s="3" t="inlineStr">
        <is>
          <t xml:space="preserve">—</t>
        </is>
      </c>
      <c r="J179" s="3" t="inlineStr">
        <is>
          <t xml:space="preserve">—</t>
        </is>
      </c>
      <c r="K179">
        <v>0</v>
      </c>
      <c r="L179" s="3" t="inlineStr">
        <is>
          <t xml:space="preserve">Ôn theo sheet DUE</t>
        </is>
      </c>
      <c r="M179" s="3" t="inlineStr">
        <is>
          <t xml:space="preserve">Nói lại 5 câu của tuần</t>
        </is>
      </c>
      <c r="N179" s="3" t="inlineStr">
        <is>
          <t xml:space="preserve">Đọc lại văn bản tuần</t>
        </is>
      </c>
      <c r="O179" s="3" t="inlineStr">
        <is>
          <t xml:space="preserve">Viết lại đoạn đã sửa</t>
        </is>
      </c>
      <c r="P179" t="inlineStr">
        <is>
          <t xml:space="preserve">—</t>
        </is>
      </c>
      <c r="Q179">
        <v>60</v>
      </c>
      <c r="R179" s="3" t="inlineStr">
        <is>
          <t xml:space="preserve">—</t>
        </is>
      </c>
      <c r="S179">
        <f>IF(PROGRESS!$E179="Yes","Xong","Chưa làm")</f>
      </c>
      <c r="T179" s="3" t="inlineStr">
        <is>
          <t xml:space="preserve">đủ từ</t>
        </is>
      </c>
    </row>
    <row r="180">
      <c r="A180">
        <v>179</v>
      </c>
      <c r="B180" s="2">
        <v>46478</v>
      </c>
      <c r="C180">
        <v>26</v>
      </c>
      <c r="D180" t="inlineStr">
        <is>
          <t xml:space="preserve">B1</t>
        </is>
      </c>
      <c r="E180" s="3" t="inlineStr">
        <is>
          <t xml:space="preserve">Final assessment &amp; consolidation</t>
        </is>
      </c>
      <c r="F180" t="inlineStr">
        <is>
          <t xml:space="preserve">Speaking drill</t>
        </is>
      </c>
      <c r="G180" t="inlineStr">
        <is>
          <t xml:space="preserve">—</t>
        </is>
      </c>
      <c r="H180" s="3" t="inlineStr">
        <is>
          <t xml:space="preserve">—</t>
        </is>
      </c>
      <c r="I180" s="3" t="inlineStr">
        <is>
          <t xml:space="preserve">—</t>
        </is>
      </c>
      <c r="J180" s="3" t="inlineStr">
        <is>
          <t xml:space="preserve">—</t>
        </is>
      </c>
      <c r="K180">
        <v>0</v>
      </c>
      <c r="L180" s="3" t="inlineStr">
        <is>
          <t xml:space="preserve">Ôn theo sheet DUE</t>
        </is>
      </c>
      <c r="M180" s="3" t="inlineStr">
        <is>
          <t xml:space="preserve">Nói lại 5 câu của tuần</t>
        </is>
      </c>
      <c r="N180" s="3" t="inlineStr">
        <is>
          <t xml:space="preserve">Đọc lại văn bản tuần</t>
        </is>
      </c>
      <c r="O180" s="3" t="inlineStr">
        <is>
          <t xml:space="preserve">Viết lại đoạn đã sửa</t>
        </is>
      </c>
      <c r="P180" t="inlineStr">
        <is>
          <t xml:space="preserve">—</t>
        </is>
      </c>
      <c r="Q180">
        <v>60</v>
      </c>
      <c r="R180" s="3" t="inlineStr">
        <is>
          <t xml:space="preserve">—</t>
        </is>
      </c>
      <c r="S180">
        <f>IF(PROGRESS!$E180="Yes","Xong","Chưa làm")</f>
      </c>
      <c r="T180" s="3" t="inlineStr">
        <is>
          <t xml:space="preserve">đủ từ</t>
        </is>
      </c>
    </row>
    <row r="181">
      <c r="A181">
        <v>180</v>
      </c>
      <c r="B181" s="2">
        <v>46479</v>
      </c>
      <c r="C181">
        <v>26</v>
      </c>
      <c r="D181" t="inlineStr">
        <is>
          <t xml:space="preserve">B1</t>
        </is>
      </c>
      <c r="E181" s="3" t="inlineStr">
        <is>
          <t xml:space="preserve">Final assessment &amp; consolidation</t>
        </is>
      </c>
      <c r="F181" t="inlineStr">
        <is>
          <t xml:space="preserve">Weekly review</t>
        </is>
      </c>
      <c r="G181" t="inlineStr">
        <is>
          <t xml:space="preserve">—</t>
        </is>
      </c>
      <c r="H181" s="3" t="inlineStr">
        <is>
          <t xml:space="preserve">Ôn tổng hợp tuần 26</t>
        </is>
      </c>
      <c r="I181" s="3" t="inlineStr">
        <is>
          <t xml:space="preserve">—</t>
        </is>
      </c>
      <c r="J181" s="3" t="inlineStr">
        <is>
          <t xml:space="preserve">—</t>
        </is>
      </c>
      <c r="K181">
        <v>0</v>
      </c>
      <c r="L181" s="3" t="inlineStr">
        <is>
          <t xml:space="preserve">Ôn theo sheet DUE</t>
        </is>
      </c>
      <c r="M181" s="3" t="inlineStr">
        <is>
          <t xml:space="preserve">Nói lại 5 câu của tuần</t>
        </is>
      </c>
      <c r="N181" s="3" t="inlineStr">
        <is>
          <t xml:space="preserve">Đọc lại văn bản tuần</t>
        </is>
      </c>
      <c r="O181" s="3" t="inlineStr">
        <is>
          <t xml:space="preserve">Viết lại đoạn đã sửa</t>
        </is>
      </c>
      <c r="P181" t="inlineStr">
        <is>
          <t xml:space="preserve">—</t>
        </is>
      </c>
      <c r="Q181">
        <v>60</v>
      </c>
      <c r="R181" s="3" t="inlineStr">
        <is>
          <t xml:space="preserve">Test chốt B1 (mục tiêu 80% + mock test đạt mục tiêu)</t>
        </is>
      </c>
      <c r="S181">
        <f>IF(PROGRESS!$E181="Yes","Xong","Chưa làm")</f>
      </c>
      <c r="T181" s="3" t="inlineStr">
        <is>
          <t xml:space="preserve">ngày ôn, không thêm từ</t>
        </is>
      </c>
    </row>
  </sheetData>
  <autoFilter ref="A1:T181"/>
  <pageMargins left="0.4" right="0.4" top="0.6" bottom="0.6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7" customWidth="1"/>
    <col min="3" max="3" width="14" customWidth="1"/>
    <col min="4" max="4" width="11" customWidth="1"/>
    <col min="5" max="5" width="16" customWidth="1"/>
    <col min="6" max="6" width="24" customWidth="1"/>
    <col min="7" max="7" width="14" customWidth="1"/>
    <col min="8" max="8" width="36" customWidth="1"/>
    <col min="9" max="9" width="24" customWidth="1"/>
    <col min="10" max="10" width="30" customWidth="1"/>
    <col min="11" max="11" width="12" customWidth="1"/>
    <col min="12" max="12" width="10" customWidth="1"/>
  </cols>
  <sheetData>
    <row r="1">
      <c r="A1" s="1" t="inlineStr">
        <is>
          <t xml:space="preserve">ID</t>
        </is>
      </c>
      <c r="B1" s="1" t="inlineStr">
        <is>
          <t xml:space="preserve">Level</t>
        </is>
      </c>
      <c r="C1" s="1" t="inlineStr">
        <is>
          <t xml:space="preserve">Nhóm</t>
        </is>
      </c>
      <c r="D1" s="1" t="inlineStr">
        <is>
          <t xml:space="preserve">Chủ đề</t>
        </is>
      </c>
      <c r="E1" s="1" t="inlineStr">
        <is>
          <t xml:space="preserve">Từ</t>
        </is>
      </c>
      <c r="F1" s="1" t="inlineStr">
        <is>
          <t xml:space="preserve">Nghĩa VI</t>
        </is>
      </c>
      <c r="G1" s="1" t="inlineStr">
        <is>
          <t xml:space="preserve">IPA</t>
        </is>
      </c>
      <c r="H1" s="1" t="inlineStr">
        <is>
          <t xml:space="preserve">Ví dụ</t>
        </is>
      </c>
      <c r="I1" s="1" t="inlineStr">
        <is>
          <t xml:space="preserve">Collocation</t>
        </is>
      </c>
      <c r="J1" s="1" t="inlineStr">
        <is>
          <t xml:space="preserve">Nguồn dữ liệu</t>
        </is>
      </c>
      <c r="K1" s="1" t="inlineStr">
        <is>
          <t xml:space="preserve">Ngày học</t>
        </is>
      </c>
      <c r="L1" s="1" t="inlineStr">
        <is>
          <t xml:space="preserve">Thứ tự hôm nay</t>
        </is>
      </c>
    </row>
    <row r="2">
      <c r="A2" t="inlineStr">
        <is>
          <t xml:space="preserve">a0_alpha_001</t>
        </is>
      </c>
      <c r="B2" t="inlineStr">
        <is>
          <t xml:space="preserve">A0</t>
        </is>
      </c>
      <c r="C2" t="inlineStr">
        <is>
          <t xml:space="preserve">alphabet</t>
        </is>
      </c>
      <c r="D2" t="inlineStr">
        <is>
          <t xml:space="preserve">A0-001</t>
        </is>
      </c>
      <c r="E2" s="3" t="inlineStr">
        <is>
          <t xml:space="preserve">letter</t>
        </is>
      </c>
      <c r="F2" s="3" t="inlineStr">
        <is>
          <t xml:space="preserve">chữ cái</t>
        </is>
      </c>
      <c r="G2" t="inlineStr">
        <is>
          <t xml:space="preserve">/ˈlet̬ɚ/</t>
        </is>
      </c>
      <c r="H2" s="3" t="inlineStr">
        <is>
          <t xml:space="preserve">The English alphabet has 26 letters.</t>
        </is>
      </c>
      <c r="I2" s="3" t="inlineStr">
        <is>
          <t xml:space="preserve">a capital letter, letter name</t>
        </is>
      </c>
      <c r="J2" t="inlineStr">
        <is>
          <t xml:space="preserve">data/roadmap</t>
        </is>
      </c>
      <c r="K2" s="2">
        <v>46300</v>
      </c>
      <c r="L2">
        <f>IF($K2="","",IF($K2=TODAY(),COUNTIF($K$2:$K2,TODAY()),""))</f>
      </c>
    </row>
    <row r="3">
      <c r="A3" t="inlineStr">
        <is>
          <t xml:space="preserve">a0_alpha_002</t>
        </is>
      </c>
      <c r="B3" t="inlineStr">
        <is>
          <t xml:space="preserve">A0</t>
        </is>
      </c>
      <c r="C3" t="inlineStr">
        <is>
          <t xml:space="preserve">alphabet</t>
        </is>
      </c>
      <c r="D3" t="inlineStr">
        <is>
          <t xml:space="preserve">A0-001</t>
        </is>
      </c>
      <c r="E3" s="3" t="inlineStr">
        <is>
          <t xml:space="preserve">alphabet</t>
        </is>
      </c>
      <c r="F3" s="3" t="inlineStr">
        <is>
          <t xml:space="preserve">bảng chữ cái</t>
        </is>
      </c>
      <c r="G3" t="inlineStr">
        <is>
          <t xml:space="preserve">/ˈælfəbet/</t>
        </is>
      </c>
      <c r="H3" s="3" t="inlineStr">
        <is>
          <t xml:space="preserve">I recite the alphabet from A to Z.</t>
        </is>
      </c>
      <c r="I3" s="3" t="inlineStr">
        <is>
          <t xml:space="preserve">the English alphabet</t>
        </is>
      </c>
      <c r="J3" t="inlineStr">
        <is>
          <t xml:space="preserve">data/roadmap</t>
        </is>
      </c>
      <c r="K3" s="2">
        <v>46300</v>
      </c>
      <c r="L3">
        <f>IF($K3="","",IF($K3=TODAY(),COUNTIF($K$2:$K3,TODAY()),""))</f>
      </c>
    </row>
    <row r="4">
      <c r="A4" t="inlineStr">
        <is>
          <t xml:space="preserve">a0_alpha_003</t>
        </is>
      </c>
      <c r="B4" t="inlineStr">
        <is>
          <t xml:space="preserve">A0</t>
        </is>
      </c>
      <c r="C4" t="inlineStr">
        <is>
          <t xml:space="preserve">alphabet</t>
        </is>
      </c>
      <c r="D4" t="inlineStr">
        <is>
          <t xml:space="preserve">A0-001</t>
        </is>
      </c>
      <c r="E4" s="3" t="inlineStr">
        <is>
          <t xml:space="preserve">spell</t>
        </is>
      </c>
      <c r="F4" s="3" t="inlineStr">
        <is>
          <t xml:space="preserve">đánh vần</t>
        </is>
      </c>
      <c r="G4" t="inlineStr">
        <is>
          <t xml:space="preserve">/spɛl/</t>
        </is>
      </c>
      <c r="H4" s="3" t="inlineStr">
        <is>
          <t xml:space="preserve">Can you spell your city?</t>
        </is>
      </c>
      <c r="I4" s="3" t="inlineStr">
        <is>
          <t xml:space="preserve">spell it slowly</t>
        </is>
      </c>
      <c r="J4" t="inlineStr">
        <is>
          <t xml:space="preserve">data/roadmap</t>
        </is>
      </c>
      <c r="K4" s="2">
        <v>46300</v>
      </c>
      <c r="L4">
        <f>IF($K4="","",IF($K4=TODAY(),COUNTIF($K$2:$K4,TODAY()),""))</f>
      </c>
    </row>
    <row r="5">
      <c r="A5" t="inlineStr">
        <is>
          <t xml:space="preserve">a0_alpha_004</t>
        </is>
      </c>
      <c r="B5" t="inlineStr">
        <is>
          <t xml:space="preserve">A0</t>
        </is>
      </c>
      <c r="C5" t="inlineStr">
        <is>
          <t xml:space="preserve">sound</t>
        </is>
      </c>
      <c r="D5" t="inlineStr">
        <is>
          <t xml:space="preserve">A0-001</t>
        </is>
      </c>
      <c r="E5" s="3" t="inlineStr">
        <is>
          <t xml:space="preserve">vowel</t>
        </is>
      </c>
      <c r="F5" s="3" t="inlineStr">
        <is>
          <t xml:space="preserve">nguyên âm</t>
        </is>
      </c>
      <c r="G5" t="inlineStr">
        <is>
          <t xml:space="preserve">/ˈvaʊəl/</t>
        </is>
      </c>
      <c r="H5" s="3" t="inlineStr">
        <is>
          <t xml:space="preserve">A, E, I, O, U are vowels.</t>
        </is>
      </c>
      <c r="I5" s="3" t="inlineStr">
        <is>
          <t xml:space="preserve">a short vowel</t>
        </is>
      </c>
      <c r="J5" t="inlineStr">
        <is>
          <t xml:space="preserve">data/roadmap</t>
        </is>
      </c>
      <c r="K5" s="2">
        <v>46300</v>
      </c>
      <c r="L5">
        <f>IF($K5="","",IF($K5=TODAY(),COUNTIF($K$2:$K5,TODAY()),""))</f>
      </c>
    </row>
    <row r="6">
      <c r="A6" t="inlineStr">
        <is>
          <t xml:space="preserve">a0_alpha_005</t>
        </is>
      </c>
      <c r="B6" t="inlineStr">
        <is>
          <t xml:space="preserve">A0</t>
        </is>
      </c>
      <c r="C6" t="inlineStr">
        <is>
          <t xml:space="preserve">sound</t>
        </is>
      </c>
      <c r="D6" t="inlineStr">
        <is>
          <t xml:space="preserve">A0-001</t>
        </is>
      </c>
      <c r="E6" s="3" t="inlineStr">
        <is>
          <t xml:space="preserve">consonant</t>
        </is>
      </c>
      <c r="F6" s="3" t="inlineStr">
        <is>
          <t xml:space="preserve">phụ âm</t>
        </is>
      </c>
      <c r="G6" t="inlineStr">
        <is>
          <t xml:space="preserve">/ˈkɑnsənənt/</t>
        </is>
      </c>
      <c r="H6" s="3" t="inlineStr">
        <is>
          <t xml:space="preserve">The letter T is a consonant.</t>
        </is>
      </c>
      <c r="I6" s="3" t="inlineStr">
        <is>
          <t xml:space="preserve">a final consonant</t>
        </is>
      </c>
      <c r="J6" t="inlineStr">
        <is>
          <t xml:space="preserve">data/roadmap</t>
        </is>
      </c>
      <c r="K6" s="2">
        <v>46300</v>
      </c>
      <c r="L6">
        <f>IF($K6="","",IF($K6=TODAY(),COUNTIF($K$2:$K6,TODAY()),""))</f>
      </c>
    </row>
    <row r="7">
      <c r="A7" t="inlineStr">
        <is>
          <t xml:space="preserve">a0_alpha_006</t>
        </is>
      </c>
      <c r="B7" t="inlineStr">
        <is>
          <t xml:space="preserve">A0</t>
        </is>
      </c>
      <c r="C7" t="inlineStr">
        <is>
          <t xml:space="preserve">alphabet</t>
        </is>
      </c>
      <c r="D7" t="inlineStr">
        <is>
          <t xml:space="preserve">A0-001</t>
        </is>
      </c>
      <c r="E7" s="3" t="inlineStr">
        <is>
          <t xml:space="preserve">capital</t>
        </is>
      </c>
      <c r="F7" s="3" t="inlineStr">
        <is>
          <t xml:space="preserve">viết hoa</t>
        </is>
      </c>
      <c r="G7" t="inlineStr">
        <is>
          <t xml:space="preserve">/ˈkæpət̬əl/</t>
        </is>
      </c>
      <c r="H7" s="3" t="inlineStr">
        <is>
          <t xml:space="preserve">Write your name with a capital letter.</t>
        </is>
      </c>
      <c r="I7" s="3" t="inlineStr">
        <is>
          <t xml:space="preserve">a capital letter</t>
        </is>
      </c>
      <c r="J7" t="inlineStr">
        <is>
          <t xml:space="preserve">data/roadmap</t>
        </is>
      </c>
      <c r="K7" s="2">
        <v>46300</v>
      </c>
      <c r="L7">
        <f>IF($K7="","",IF($K7=TODAY(),COUNTIF($K$2:$K7,TODAY()),""))</f>
      </c>
    </row>
    <row r="8">
      <c r="A8" t="inlineStr">
        <is>
          <t xml:space="preserve">a0_alpha_007</t>
        </is>
      </c>
      <c r="B8" t="inlineStr">
        <is>
          <t xml:space="preserve">A0</t>
        </is>
      </c>
      <c r="C8" t="inlineStr">
        <is>
          <t xml:space="preserve">sound</t>
        </is>
      </c>
      <c r="D8" t="inlineStr">
        <is>
          <t xml:space="preserve">A0-001</t>
        </is>
      </c>
      <c r="E8" s="3" t="inlineStr">
        <is>
          <t xml:space="preserve">sound</t>
        </is>
      </c>
      <c r="F8" s="3" t="inlineStr">
        <is>
          <t xml:space="preserve">âm</t>
        </is>
      </c>
      <c r="G8" t="inlineStr">
        <is>
          <t xml:space="preserve">/saʊnd/</t>
        </is>
      </c>
      <c r="H8" s="3" t="inlineStr">
        <is>
          <t xml:space="preserve">The sound of TH is new for me.</t>
        </is>
      </c>
      <c r="I8" s="3" t="inlineStr">
        <is>
          <t xml:space="preserve">a short sound, sound like</t>
        </is>
      </c>
      <c r="J8" t="inlineStr">
        <is>
          <t xml:space="preserve">data/roadmap</t>
        </is>
      </c>
      <c r="K8" s="2">
        <v>46300</v>
      </c>
      <c r="L8">
        <f>IF($K8="","",IF($K8=TODAY(),COUNTIF($K$2:$K8,TODAY()),""))</f>
      </c>
    </row>
    <row r="9">
      <c r="A9" t="inlineStr">
        <is>
          <t xml:space="preserve">a0_alpha_008</t>
        </is>
      </c>
      <c r="B9" t="inlineStr">
        <is>
          <t xml:space="preserve">A0</t>
        </is>
      </c>
      <c r="C9" t="inlineStr">
        <is>
          <t xml:space="preserve">verb</t>
        </is>
      </c>
      <c r="D9" t="inlineStr">
        <is>
          <t xml:space="preserve">A0-001</t>
        </is>
      </c>
      <c r="E9" s="3" t="inlineStr">
        <is>
          <t xml:space="preserve">write</t>
        </is>
      </c>
      <c r="F9" s="3" t="inlineStr">
        <is>
          <t xml:space="preserve">viết</t>
        </is>
      </c>
      <c r="G9" t="inlineStr">
        <is>
          <t xml:space="preserve">/raɪt/</t>
        </is>
      </c>
      <c r="H9" s="3" t="inlineStr">
        <is>
          <t xml:space="preserve">I write my name on the paper.</t>
        </is>
      </c>
      <c r="I9" s="3" t="inlineStr">
        <is>
          <t xml:space="preserve">write a letter, write down</t>
        </is>
      </c>
      <c r="J9" t="inlineStr">
        <is>
          <t xml:space="preserve">data/roadmap</t>
        </is>
      </c>
      <c r="K9" s="2">
        <v>46300</v>
      </c>
      <c r="L9">
        <f>IF($K9="","",IF($K9=TODAY(),COUNTIF($K$2:$K9,TODAY()),""))</f>
      </c>
    </row>
    <row r="10">
      <c r="A10" t="inlineStr">
        <is>
          <t xml:space="preserve">a0_alpha_009</t>
        </is>
      </c>
      <c r="B10" t="inlineStr">
        <is>
          <t xml:space="preserve">A0</t>
        </is>
      </c>
      <c r="C10" t="inlineStr">
        <is>
          <t xml:space="preserve">verb</t>
        </is>
      </c>
      <c r="D10" t="inlineStr">
        <is>
          <t xml:space="preserve">A0-001</t>
        </is>
      </c>
      <c r="E10" s="3" t="inlineStr">
        <is>
          <t xml:space="preserve">say</t>
        </is>
      </c>
      <c r="F10" s="3" t="inlineStr">
        <is>
          <t xml:space="preserve">nói</t>
        </is>
      </c>
      <c r="G10" t="inlineStr">
        <is>
          <t xml:space="preserve">/seɪ/</t>
        </is>
      </c>
      <c r="H10" s="3" t="inlineStr">
        <is>
          <t xml:space="preserve">Say the word after me.</t>
        </is>
      </c>
      <c r="I10" s="3" t="inlineStr">
        <is>
          <t xml:space="preserve">say it again</t>
        </is>
      </c>
      <c r="J10" t="inlineStr">
        <is>
          <t xml:space="preserve">data/roadmap</t>
        </is>
      </c>
      <c r="K10" s="2">
        <v>46301</v>
      </c>
      <c r="L10">
        <f>IF($K10="","",IF($K10=TODAY(),COUNTIF($K$2:$K10,TODAY()),""))</f>
      </c>
    </row>
    <row r="11">
      <c r="A11" t="inlineStr">
        <is>
          <t xml:space="preserve">a0_alpha_010</t>
        </is>
      </c>
      <c r="B11" t="inlineStr">
        <is>
          <t xml:space="preserve">A0</t>
        </is>
      </c>
      <c r="C11" t="inlineStr">
        <is>
          <t xml:space="preserve">alphabet</t>
        </is>
      </c>
      <c r="D11" t="inlineStr">
        <is>
          <t xml:space="preserve">A0-001</t>
        </is>
      </c>
      <c r="E11" s="3" t="inlineStr">
        <is>
          <t xml:space="preserve">English</t>
        </is>
      </c>
      <c r="F11" s="3" t="inlineStr">
        <is>
          <t xml:space="preserve">tiếng Anh</t>
        </is>
      </c>
      <c r="G11" t="inlineStr">
        <is>
          <t xml:space="preserve">/ˈɪŋɡlɪʃ/</t>
        </is>
      </c>
      <c r="H11" s="3" t="inlineStr">
        <is>
          <t xml:space="preserve">I study English every morning.</t>
        </is>
      </c>
      <c r="I11" s="3" t="inlineStr">
        <is>
          <t xml:space="preserve">speak English, an English teacher</t>
        </is>
      </c>
      <c r="J11" t="inlineStr">
        <is>
          <t xml:space="preserve">data/roadmap</t>
        </is>
      </c>
      <c r="K11" s="2">
        <v>46301</v>
      </c>
      <c r="L11">
        <f>IF($K11="","",IF($K11=TODAY(),COUNTIF($K$2:$K11,TODAY()),""))</f>
      </c>
    </row>
    <row r="12">
      <c r="A12" t="inlineStr">
        <is>
          <t xml:space="preserve">a0_sound_011</t>
        </is>
      </c>
      <c r="B12" t="inlineStr">
        <is>
          <t xml:space="preserve">A0</t>
        </is>
      </c>
      <c r="C12" t="inlineStr">
        <is>
          <t xml:space="preserve">sound</t>
        </is>
      </c>
      <c r="D12" t="inlineStr">
        <is>
          <t xml:space="preserve">A0-002</t>
        </is>
      </c>
      <c r="E12" s="3" t="inlineStr">
        <is>
          <t xml:space="preserve">ship</t>
        </is>
      </c>
      <c r="F12" s="3" t="inlineStr">
        <is>
          <t xml:space="preserve">con tàu</t>
        </is>
      </c>
      <c r="G12" t="inlineStr">
        <is>
          <t xml:space="preserve">/ʃɪp/</t>
        </is>
      </c>
      <c r="H12" s="3" t="inlineStr">
        <is>
          <t xml:space="preserve">The ship is very big.</t>
        </is>
      </c>
      <c r="I12" s="3" t="inlineStr">
        <is>
          <t xml:space="preserve">a big ship</t>
        </is>
      </c>
      <c r="J12" t="inlineStr">
        <is>
          <t xml:space="preserve">data/roadmap</t>
        </is>
      </c>
      <c r="K12" s="2">
        <v>46301</v>
      </c>
      <c r="L12">
        <f>IF($K12="","",IF($K12=TODAY(),COUNTIF($K$2:$K12,TODAY()),""))</f>
      </c>
    </row>
    <row r="13">
      <c r="A13" t="inlineStr">
        <is>
          <t xml:space="preserve">a0_sound_012</t>
        </is>
      </c>
      <c r="B13" t="inlineStr">
        <is>
          <t xml:space="preserve">A0</t>
        </is>
      </c>
      <c r="C13" t="inlineStr">
        <is>
          <t xml:space="preserve">sound</t>
        </is>
      </c>
      <c r="D13" t="inlineStr">
        <is>
          <t xml:space="preserve">A0-002</t>
        </is>
      </c>
      <c r="E13" s="3" t="inlineStr">
        <is>
          <t xml:space="preserve">sheep</t>
        </is>
      </c>
      <c r="F13" s="3" t="inlineStr">
        <is>
          <t xml:space="preserve">con cừu</t>
        </is>
      </c>
      <c r="G13" t="inlineStr">
        <is>
          <t xml:space="preserve">/ʃip/</t>
        </is>
      </c>
      <c r="H13" s="3" t="inlineStr">
        <is>
          <t xml:space="preserve">The sheep eats grass near the road.</t>
        </is>
      </c>
      <c r="I13" s="3" t="inlineStr">
        <is>
          <t xml:space="preserve">a white sheep</t>
        </is>
      </c>
      <c r="J13" t="inlineStr">
        <is>
          <t xml:space="preserve">data/roadmap</t>
        </is>
      </c>
      <c r="K13" s="2">
        <v>46301</v>
      </c>
      <c r="L13">
        <f>IF($K13="","",IF($K13=TODAY(),COUNTIF($K$2:$K13,TODAY()),""))</f>
      </c>
    </row>
    <row r="14">
      <c r="A14" t="inlineStr">
        <is>
          <t xml:space="preserve">a0_sound_013</t>
        </is>
      </c>
      <c r="B14" t="inlineStr">
        <is>
          <t xml:space="preserve">A0</t>
        </is>
      </c>
      <c r="C14" t="inlineStr">
        <is>
          <t xml:space="preserve">people</t>
        </is>
      </c>
      <c r="D14" t="inlineStr">
        <is>
          <t xml:space="preserve">A0-002</t>
        </is>
      </c>
      <c r="E14" s="3" t="inlineStr">
        <is>
          <t xml:space="preserve">man</t>
        </is>
      </c>
      <c r="F14" s="3" t="inlineStr">
        <is>
          <t xml:space="preserve">người đàn ông</t>
        </is>
      </c>
      <c r="G14" t="inlineStr">
        <is>
          <t xml:space="preserve">/mæn/</t>
        </is>
      </c>
      <c r="H14" s="3" t="inlineStr">
        <is>
          <t xml:space="preserve">That man is my teacher.</t>
        </is>
      </c>
      <c r="I14" s="3" t="inlineStr">
        <is>
          <t xml:space="preserve">a young man</t>
        </is>
      </c>
      <c r="J14" t="inlineStr">
        <is>
          <t xml:space="preserve">data/roadmap</t>
        </is>
      </c>
      <c r="K14" s="2">
        <v>46301</v>
      </c>
      <c r="L14">
        <f>IF($K14="","",IF($K14=TODAY(),COUNTIF($K$2:$K14,TODAY()),""))</f>
      </c>
    </row>
    <row r="15">
      <c r="A15" t="inlineStr">
        <is>
          <t xml:space="preserve">a0_sound_014</t>
        </is>
      </c>
      <c r="B15" t="inlineStr">
        <is>
          <t xml:space="preserve">A0</t>
        </is>
      </c>
      <c r="C15" t="inlineStr">
        <is>
          <t xml:space="preserve">people</t>
        </is>
      </c>
      <c r="D15" t="inlineStr">
        <is>
          <t xml:space="preserve">A0-002</t>
        </is>
      </c>
      <c r="E15" s="3" t="inlineStr">
        <is>
          <t xml:space="preserve">men</t>
        </is>
      </c>
      <c r="F15" s="3" t="inlineStr">
        <is>
          <t xml:space="preserve">những người đàn ông</t>
        </is>
      </c>
      <c r="G15" t="inlineStr">
        <is>
          <t xml:space="preserve">/mɛn/</t>
        </is>
      </c>
      <c r="H15" s="3" t="inlineStr">
        <is>
          <t xml:space="preserve">Two men work in this room.</t>
        </is>
      </c>
      <c r="I15" s="3" t="inlineStr">
        <is>
          <t xml:space="preserve">many men</t>
        </is>
      </c>
      <c r="J15" t="inlineStr">
        <is>
          <t xml:space="preserve">data/roadmap</t>
        </is>
      </c>
      <c r="K15" s="2">
        <v>46301</v>
      </c>
      <c r="L15">
        <f>IF($K15="","",IF($K15=TODAY(),COUNTIF($K$2:$K15,TODAY()),""))</f>
      </c>
    </row>
    <row r="16">
      <c r="A16" t="inlineStr">
        <is>
          <t xml:space="preserve">a0_sound_015</t>
        </is>
      </c>
      <c r="B16" t="inlineStr">
        <is>
          <t xml:space="preserve">A0</t>
        </is>
      </c>
      <c r="C16" t="inlineStr">
        <is>
          <t xml:space="preserve">adjective</t>
        </is>
      </c>
      <c r="D16" t="inlineStr">
        <is>
          <t xml:space="preserve">A0-002</t>
        </is>
      </c>
      <c r="E16" s="3" t="inlineStr">
        <is>
          <t xml:space="preserve">bad</t>
        </is>
      </c>
      <c r="F16" s="3" t="inlineStr">
        <is>
          <t xml:space="preserve">xấu, kém</t>
        </is>
      </c>
      <c r="G16" t="inlineStr">
        <is>
          <t xml:space="preserve">/bæd/</t>
        </is>
      </c>
      <c r="H16" s="3" t="inlineStr">
        <is>
          <t xml:space="preserve">The weather is bad today.</t>
        </is>
      </c>
      <c r="I16" s="3" t="inlineStr">
        <is>
          <t xml:space="preserve">a bad day</t>
        </is>
      </c>
      <c r="J16" t="inlineStr">
        <is>
          <t xml:space="preserve">data/roadmap</t>
        </is>
      </c>
      <c r="K16" s="2">
        <v>46301</v>
      </c>
      <c r="L16">
        <f>IF($K16="","",IF($K16=TODAY(),COUNTIF($K$2:$K16,TODAY()),""))</f>
      </c>
    </row>
    <row r="17">
      <c r="A17" t="inlineStr">
        <is>
          <t xml:space="preserve">a0_sound_016</t>
        </is>
      </c>
      <c r="B17" t="inlineStr">
        <is>
          <t xml:space="preserve">A0</t>
        </is>
      </c>
      <c r="C17" t="inlineStr">
        <is>
          <t xml:space="preserve">place</t>
        </is>
      </c>
      <c r="D17" t="inlineStr">
        <is>
          <t xml:space="preserve">A0-002</t>
        </is>
      </c>
      <c r="E17" s="3" t="inlineStr">
        <is>
          <t xml:space="preserve">bed</t>
        </is>
      </c>
      <c r="F17" s="3" t="inlineStr">
        <is>
          <t xml:space="preserve">cái giường</t>
        </is>
      </c>
      <c r="G17" t="inlineStr">
        <is>
          <t xml:space="preserve">/bɛd/</t>
        </is>
      </c>
      <c r="H17" s="3" t="inlineStr">
        <is>
          <t xml:space="preserve">I go to bed at ten.</t>
        </is>
      </c>
      <c r="I17" s="3" t="inlineStr">
        <is>
          <t xml:space="preserve">make the bed, in bed</t>
        </is>
      </c>
      <c r="J17" t="inlineStr">
        <is>
          <t xml:space="preserve">data/roadmap</t>
        </is>
      </c>
      <c r="K17" s="2">
        <v>46301</v>
      </c>
      <c r="L17">
        <f>IF($K17="","",IF($K17=TODAY(),COUNTIF($K$2:$K17,TODAY()),""))</f>
      </c>
    </row>
    <row r="18">
      <c r="A18" t="inlineStr">
        <is>
          <t xml:space="preserve">a0_sound_017</t>
        </is>
      </c>
      <c r="B18" t="inlineStr">
        <is>
          <t xml:space="preserve">A0</t>
        </is>
      </c>
      <c r="C18" t="inlineStr">
        <is>
          <t xml:space="preserve">animal</t>
        </is>
      </c>
      <c r="D18" t="inlineStr">
        <is>
          <t xml:space="preserve">A0-002</t>
        </is>
      </c>
      <c r="E18" s="3" t="inlineStr">
        <is>
          <t xml:space="preserve">cat</t>
        </is>
      </c>
      <c r="F18" s="3" t="inlineStr">
        <is>
          <t xml:space="preserve">con mèo</t>
        </is>
      </c>
      <c r="G18" t="inlineStr">
        <is>
          <t xml:space="preserve">/kæt/</t>
        </is>
      </c>
      <c r="H18" s="3" t="inlineStr">
        <is>
          <t xml:space="preserve">My cat sleeps on the chair.</t>
        </is>
      </c>
      <c r="I18" s="3" t="inlineStr">
        <is>
          <t xml:space="preserve">a black cat</t>
        </is>
      </c>
      <c r="J18" t="inlineStr">
        <is>
          <t xml:space="preserve">data/roadmap</t>
        </is>
      </c>
      <c r="K18" s="2">
        <v>46302</v>
      </c>
      <c r="L18">
        <f>IF($K18="","",IF($K18=TODAY(),COUNTIF($K$2:$K18,TODAY()),""))</f>
      </c>
    </row>
    <row r="19">
      <c r="A19" t="inlineStr">
        <is>
          <t xml:space="preserve">a0_sound_018</t>
        </is>
      </c>
      <c r="B19" t="inlineStr">
        <is>
          <t xml:space="preserve">A0</t>
        </is>
      </c>
      <c r="C19" t="inlineStr">
        <is>
          <t xml:space="preserve">verb</t>
        </is>
      </c>
      <c r="D19" t="inlineStr">
        <is>
          <t xml:space="preserve">A0-002</t>
        </is>
      </c>
      <c r="E19" s="3" t="inlineStr">
        <is>
          <t xml:space="preserve">cut</t>
        </is>
      </c>
      <c r="F19" s="3" t="inlineStr">
        <is>
          <t xml:space="preserve">cắt</t>
        </is>
      </c>
      <c r="G19" t="inlineStr">
        <is>
          <t xml:space="preserve">/kʌt/</t>
        </is>
      </c>
      <c r="H19" s="3" t="inlineStr">
        <is>
          <t xml:space="preserve">Do not cut the paper.</t>
        </is>
      </c>
      <c r="I19" s="3" t="inlineStr">
        <is>
          <t xml:space="preserve">cut with scissors</t>
        </is>
      </c>
      <c r="J19" t="inlineStr">
        <is>
          <t xml:space="preserve">data/roadmap</t>
        </is>
      </c>
      <c r="K19" s="2">
        <v>46302</v>
      </c>
      <c r="L19">
        <f>IF($K19="","",IF($K19=TODAY(),COUNTIF($K$2:$K19,TODAY()),""))</f>
      </c>
    </row>
    <row r="20">
      <c r="A20" t="inlineStr">
        <is>
          <t xml:space="preserve">a0_num_019</t>
        </is>
      </c>
      <c r="B20" t="inlineStr">
        <is>
          <t xml:space="preserve">A0</t>
        </is>
      </c>
      <c r="C20" t="inlineStr">
        <is>
          <t xml:space="preserve">number</t>
        </is>
      </c>
      <c r="D20" t="inlineStr">
        <is>
          <t xml:space="preserve">A0-003</t>
        </is>
      </c>
      <c r="E20" s="3" t="inlineStr">
        <is>
          <t xml:space="preserve">one</t>
        </is>
      </c>
      <c r="F20" s="3" t="inlineStr">
        <is>
          <t xml:space="preserve">một</t>
        </is>
      </c>
      <c r="G20" t="inlineStr">
        <is>
          <t xml:space="preserve">/wʌn/</t>
        </is>
      </c>
      <c r="H20" s="3" t="inlineStr">
        <is>
          <t xml:space="preserve">I have one brother.</t>
        </is>
      </c>
      <c r="I20" s="3" t="inlineStr">
        <is>
          <t xml:space="preserve">one time, at once</t>
        </is>
      </c>
      <c r="J20" t="inlineStr">
        <is>
          <t xml:space="preserve">data/roadmap</t>
        </is>
      </c>
      <c r="K20" s="2">
        <v>46302</v>
      </c>
      <c r="L20">
        <f>IF($K20="","",IF($K20=TODAY(),COUNTIF($K$2:$K20,TODAY()),""))</f>
      </c>
    </row>
    <row r="21">
      <c r="A21" t="inlineStr">
        <is>
          <t xml:space="preserve">a0_num_020</t>
        </is>
      </c>
      <c r="B21" t="inlineStr">
        <is>
          <t xml:space="preserve">A0</t>
        </is>
      </c>
      <c r="C21" t="inlineStr">
        <is>
          <t xml:space="preserve">number</t>
        </is>
      </c>
      <c r="D21" t="inlineStr">
        <is>
          <t xml:space="preserve">A0-003</t>
        </is>
      </c>
      <c r="E21" s="3" t="inlineStr">
        <is>
          <t xml:space="preserve">two</t>
        </is>
      </c>
      <c r="F21" s="3" t="inlineStr">
        <is>
          <t xml:space="preserve">hai</t>
        </is>
      </c>
      <c r="G21" t="inlineStr">
        <is>
          <t xml:space="preserve">/tu/</t>
        </is>
      </c>
      <c r="H21" s="3" t="inlineStr">
        <is>
          <t xml:space="preserve">She has two dogs.</t>
        </is>
      </c>
      <c r="I21" s="3" t="inlineStr">
        <is>
          <t xml:space="preserve">two or three</t>
        </is>
      </c>
      <c r="J21" t="inlineStr">
        <is>
          <t xml:space="preserve">data/roadmap</t>
        </is>
      </c>
      <c r="K21" s="2">
        <v>46302</v>
      </c>
      <c r="L21">
        <f>IF($K21="","",IF($K21=TODAY(),COUNTIF($K$2:$K21,TODAY()),""))</f>
      </c>
    </row>
    <row r="22">
      <c r="A22" t="inlineStr">
        <is>
          <t xml:space="preserve">a0_num_021</t>
        </is>
      </c>
      <c r="B22" t="inlineStr">
        <is>
          <t xml:space="preserve">A0</t>
        </is>
      </c>
      <c r="C22" t="inlineStr">
        <is>
          <t xml:space="preserve">number</t>
        </is>
      </c>
      <c r="D22" t="inlineStr">
        <is>
          <t xml:space="preserve">A0-003</t>
        </is>
      </c>
      <c r="E22" s="3" t="inlineStr">
        <is>
          <t xml:space="preserve">three</t>
        </is>
      </c>
      <c r="F22" s="3" t="inlineStr">
        <is>
          <t xml:space="preserve">ba</t>
        </is>
      </c>
      <c r="G22" t="inlineStr">
        <is>
          <t xml:space="preserve">/θri/</t>
        </is>
      </c>
      <c r="H22" s="3" t="inlineStr">
        <is>
          <t xml:space="preserve">There are three cups on the table.</t>
        </is>
      </c>
      <c r="I22" s="3" t="inlineStr">
        <is>
          <t xml:space="preserve">three times</t>
        </is>
      </c>
      <c r="J22" t="inlineStr">
        <is>
          <t xml:space="preserve">data/roadmap</t>
        </is>
      </c>
      <c r="K22" s="2">
        <v>46302</v>
      </c>
      <c r="L22">
        <f>IF($K22="","",IF($K22=TODAY(),COUNTIF($K$2:$K22,TODAY()),""))</f>
      </c>
    </row>
    <row r="23">
      <c r="A23" t="inlineStr">
        <is>
          <t xml:space="preserve">a0_num_022</t>
        </is>
      </c>
      <c r="B23" t="inlineStr">
        <is>
          <t xml:space="preserve">A0</t>
        </is>
      </c>
      <c r="C23" t="inlineStr">
        <is>
          <t xml:space="preserve">number</t>
        </is>
      </c>
      <c r="D23" t="inlineStr">
        <is>
          <t xml:space="preserve">A0-003</t>
        </is>
      </c>
      <c r="E23" s="3" t="inlineStr">
        <is>
          <t xml:space="preserve">four</t>
        </is>
      </c>
      <c r="F23" s="3" t="inlineStr">
        <is>
          <t xml:space="preserve">bốn</t>
        </is>
      </c>
      <c r="G23" t="inlineStr">
        <is>
          <t xml:space="preserve">/fɔr/</t>
        </is>
      </c>
      <c r="H23" s="3" t="inlineStr">
        <is>
          <t xml:space="preserve">My sister has four books.</t>
        </is>
      </c>
      <c r="I23" s="3" t="inlineStr">
        <is>
          <t xml:space="preserve">four seasons</t>
        </is>
      </c>
      <c r="J23" t="inlineStr">
        <is>
          <t xml:space="preserve">data/roadmap</t>
        </is>
      </c>
      <c r="K23" s="2">
        <v>46302</v>
      </c>
      <c r="L23">
        <f>IF($K23="","",IF($K23=TODAY(),COUNTIF($K$2:$K23,TODAY()),""))</f>
      </c>
    </row>
    <row r="24">
      <c r="A24" t="inlineStr">
        <is>
          <t xml:space="preserve">a0_num_023</t>
        </is>
      </c>
      <c r="B24" t="inlineStr">
        <is>
          <t xml:space="preserve">A0</t>
        </is>
      </c>
      <c r="C24" t="inlineStr">
        <is>
          <t xml:space="preserve">number</t>
        </is>
      </c>
      <c r="D24" t="inlineStr">
        <is>
          <t xml:space="preserve">A0-003</t>
        </is>
      </c>
      <c r="E24" s="3" t="inlineStr">
        <is>
          <t xml:space="preserve">five</t>
        </is>
      </c>
      <c r="F24" s="3" t="inlineStr">
        <is>
          <t xml:space="preserve">năm</t>
        </is>
      </c>
      <c r="G24" t="inlineStr">
        <is>
          <t xml:space="preserve">/faɪv/</t>
        </is>
      </c>
      <c r="H24" s="3" t="inlineStr">
        <is>
          <t xml:space="preserve">I wait five minutes.</t>
        </is>
      </c>
      <c r="I24" s="3" t="inlineStr">
        <is>
          <t xml:space="preserve">five o'clock</t>
        </is>
      </c>
      <c r="J24" t="inlineStr">
        <is>
          <t xml:space="preserve">data/roadmap</t>
        </is>
      </c>
      <c r="K24" s="2">
        <v>46302</v>
      </c>
      <c r="L24">
        <f>IF($K24="","",IF($K24=TODAY(),COUNTIF($K$2:$K24,TODAY()),""))</f>
      </c>
    </row>
    <row r="25">
      <c r="A25" t="inlineStr">
        <is>
          <t xml:space="preserve">a0_num_024</t>
        </is>
      </c>
      <c r="B25" t="inlineStr">
        <is>
          <t xml:space="preserve">A0</t>
        </is>
      </c>
      <c r="C25" t="inlineStr">
        <is>
          <t xml:space="preserve">number</t>
        </is>
      </c>
      <c r="D25" t="inlineStr">
        <is>
          <t xml:space="preserve">A0-003</t>
        </is>
      </c>
      <c r="E25" s="3" t="inlineStr">
        <is>
          <t xml:space="preserve">six</t>
        </is>
      </c>
      <c r="F25" s="3" t="inlineStr">
        <is>
          <t xml:space="preserve">sáu</t>
        </is>
      </c>
      <c r="G25" t="inlineStr">
        <is>
          <t xml:space="preserve">/sɪks/</t>
        </is>
      </c>
      <c r="H25" s="3" t="inlineStr">
        <is>
          <t xml:space="preserve">We study six days a week.</t>
        </is>
      </c>
      <c r="I25" s="3" t="inlineStr">
        <is>
          <t xml:space="preserve">six o'clock</t>
        </is>
      </c>
      <c r="J25" t="inlineStr">
        <is>
          <t xml:space="preserve">data/roadmap</t>
        </is>
      </c>
      <c r="K25" s="2">
        <v>46302</v>
      </c>
      <c r="L25">
        <f>IF($K25="","",IF($K25=TODAY(),COUNTIF($K$2:$K25,TODAY()),""))</f>
      </c>
    </row>
    <row r="26">
      <c r="A26" t="inlineStr">
        <is>
          <t xml:space="preserve">a0_num_025</t>
        </is>
      </c>
      <c r="B26" t="inlineStr">
        <is>
          <t xml:space="preserve">A0</t>
        </is>
      </c>
      <c r="C26" t="inlineStr">
        <is>
          <t xml:space="preserve">number</t>
        </is>
      </c>
      <c r="D26" t="inlineStr">
        <is>
          <t xml:space="preserve">A0-003</t>
        </is>
      </c>
      <c r="E26" s="3" t="inlineStr">
        <is>
          <t xml:space="preserve">seven</t>
        </is>
      </c>
      <c r="F26" s="3" t="inlineStr">
        <is>
          <t xml:space="preserve">bảy</t>
        </is>
      </c>
      <c r="G26" t="inlineStr">
        <is>
          <t xml:space="preserve">/ˈsɛvən/</t>
        </is>
      </c>
      <c r="H26" s="3" t="inlineStr">
        <is>
          <t xml:space="preserve">A week has seven days.</t>
        </is>
      </c>
      <c r="I26" s="3" t="inlineStr">
        <is>
          <t xml:space="preserve">seven days</t>
        </is>
      </c>
      <c r="J26" t="inlineStr">
        <is>
          <t xml:space="preserve">data/roadmap</t>
        </is>
      </c>
      <c r="K26" s="2">
        <v>46303</v>
      </c>
      <c r="L26">
        <f>IF($K26="","",IF($K26=TODAY(),COUNTIF($K$2:$K26,TODAY()),""))</f>
      </c>
    </row>
    <row r="27">
      <c r="A27" t="inlineStr">
        <is>
          <t xml:space="preserve">a0_num_026</t>
        </is>
      </c>
      <c r="B27" t="inlineStr">
        <is>
          <t xml:space="preserve">A0</t>
        </is>
      </c>
      <c r="C27" t="inlineStr">
        <is>
          <t xml:space="preserve">number</t>
        </is>
      </c>
      <c r="D27" t="inlineStr">
        <is>
          <t xml:space="preserve">A0-003</t>
        </is>
      </c>
      <c r="E27" s="3" t="inlineStr">
        <is>
          <t xml:space="preserve">eight</t>
        </is>
      </c>
      <c r="F27" s="3" t="inlineStr">
        <is>
          <t xml:space="preserve">tám</t>
        </is>
      </c>
      <c r="G27" t="inlineStr">
        <is>
          <t xml:space="preserve">/eɪt/</t>
        </is>
      </c>
      <c r="H27" s="3" t="inlineStr">
        <is>
          <t xml:space="preserve">I sleep eight hours.</t>
        </is>
      </c>
      <c r="I27" s="3" t="inlineStr">
        <is>
          <t xml:space="preserve">eight o'clock</t>
        </is>
      </c>
      <c r="J27" t="inlineStr">
        <is>
          <t xml:space="preserve">data/roadmap</t>
        </is>
      </c>
      <c r="K27" s="2">
        <v>46303</v>
      </c>
      <c r="L27">
        <f>IF($K27="","",IF($K27=TODAY(),COUNTIF($K$2:$K27,TODAY()),""))</f>
      </c>
    </row>
    <row r="28">
      <c r="A28" t="inlineStr">
        <is>
          <t xml:space="preserve">a0_num_027</t>
        </is>
      </c>
      <c r="B28" t="inlineStr">
        <is>
          <t xml:space="preserve">A0</t>
        </is>
      </c>
      <c r="C28" t="inlineStr">
        <is>
          <t xml:space="preserve">number</t>
        </is>
      </c>
      <c r="D28" t="inlineStr">
        <is>
          <t xml:space="preserve">A0-003</t>
        </is>
      </c>
      <c r="E28" s="3" t="inlineStr">
        <is>
          <t xml:space="preserve">nine</t>
        </is>
      </c>
      <c r="F28" s="3" t="inlineStr">
        <is>
          <t xml:space="preserve">chín</t>
        </is>
      </c>
      <c r="G28" t="inlineStr">
        <is>
          <t xml:space="preserve">/naɪn/</t>
        </is>
      </c>
      <c r="H28" s="3" t="inlineStr">
        <is>
          <t xml:space="preserve">The class starts at nine.</t>
        </is>
      </c>
      <c r="I28" s="3" t="inlineStr">
        <is>
          <t xml:space="preserve">nine times</t>
        </is>
      </c>
      <c r="J28" t="inlineStr">
        <is>
          <t xml:space="preserve">data/roadmap</t>
        </is>
      </c>
      <c r="K28" s="2">
        <v>46303</v>
      </c>
      <c r="L28">
        <f>IF($K28="","",IF($K28=TODAY(),COUNTIF($K$2:$K28,TODAY()),""))</f>
      </c>
    </row>
    <row r="29">
      <c r="A29" t="inlineStr">
        <is>
          <t xml:space="preserve">a0_num_028</t>
        </is>
      </c>
      <c r="B29" t="inlineStr">
        <is>
          <t xml:space="preserve">A0</t>
        </is>
      </c>
      <c r="C29" t="inlineStr">
        <is>
          <t xml:space="preserve">number</t>
        </is>
      </c>
      <c r="D29" t="inlineStr">
        <is>
          <t xml:space="preserve">A0-003</t>
        </is>
      </c>
      <c r="E29" s="3" t="inlineStr">
        <is>
          <t xml:space="preserve">ten</t>
        </is>
      </c>
      <c r="F29" s="3" t="inlineStr">
        <is>
          <t xml:space="preserve">mười</t>
        </is>
      </c>
      <c r="G29" t="inlineStr">
        <is>
          <t xml:space="preserve">/tɛn/</t>
        </is>
      </c>
      <c r="H29" s="3" t="inlineStr">
        <is>
          <t xml:space="preserve">I learn ten words a day.</t>
        </is>
      </c>
      <c r="I29" s="3" t="inlineStr">
        <is>
          <t xml:space="preserve">ten minutes</t>
        </is>
      </c>
      <c r="J29" t="inlineStr">
        <is>
          <t xml:space="preserve">data/roadmap</t>
        </is>
      </c>
      <c r="K29" s="2">
        <v>46303</v>
      </c>
      <c r="L29">
        <f>IF($K29="","",IF($K29=TODAY(),COUNTIF($K$2:$K29,TODAY()),""))</f>
      </c>
    </row>
    <row r="30">
      <c r="A30" t="inlineStr">
        <is>
          <t xml:space="preserve">a0_num_029</t>
        </is>
      </c>
      <c r="B30" t="inlineStr">
        <is>
          <t xml:space="preserve">A0</t>
        </is>
      </c>
      <c r="C30" t="inlineStr">
        <is>
          <t xml:space="preserve">number</t>
        </is>
      </c>
      <c r="D30" t="inlineStr">
        <is>
          <t xml:space="preserve">A0-003</t>
        </is>
      </c>
      <c r="E30" s="3" t="inlineStr">
        <is>
          <t xml:space="preserve">eleven</t>
        </is>
      </c>
      <c r="F30" s="3" t="inlineStr">
        <is>
          <t xml:space="preserve">mười một</t>
        </is>
      </c>
      <c r="G30" t="inlineStr">
        <is>
          <t xml:space="preserve">/ɪˈlɛvən/</t>
        </is>
      </c>
      <c r="H30" s="3" t="inlineStr">
        <is>
          <t xml:space="preserve">He is eleven years old.</t>
        </is>
      </c>
      <c r="I30" s="3" t="inlineStr">
        <is>
          <t xml:space="preserve">eleven o'clock</t>
        </is>
      </c>
      <c r="J30" t="inlineStr">
        <is>
          <t xml:space="preserve">data/roadmap</t>
        </is>
      </c>
      <c r="K30" s="2">
        <v>46303</v>
      </c>
      <c r="L30">
        <f>IF($K30="","",IF($K30=TODAY(),COUNTIF($K$2:$K30,TODAY()),""))</f>
      </c>
    </row>
    <row r="31">
      <c r="A31" t="inlineStr">
        <is>
          <t xml:space="preserve">a0_num_030</t>
        </is>
      </c>
      <c r="B31" t="inlineStr">
        <is>
          <t xml:space="preserve">A0</t>
        </is>
      </c>
      <c r="C31" t="inlineStr">
        <is>
          <t xml:space="preserve">number</t>
        </is>
      </c>
      <c r="D31" t="inlineStr">
        <is>
          <t xml:space="preserve">A0-003</t>
        </is>
      </c>
      <c r="E31" s="3" t="inlineStr">
        <is>
          <t xml:space="preserve">twelve</t>
        </is>
      </c>
      <c r="F31" s="3" t="inlineStr">
        <is>
          <t xml:space="preserve">mười hai</t>
        </is>
      </c>
      <c r="G31" t="inlineStr">
        <is>
          <t xml:space="preserve">/twɛlv/</t>
        </is>
      </c>
      <c r="H31" s="3" t="inlineStr">
        <is>
          <t xml:space="preserve">A year has twelve months.</t>
        </is>
      </c>
      <c r="I31" s="3" t="inlineStr">
        <is>
          <t xml:space="preserve">twelve months</t>
        </is>
      </c>
      <c r="J31" t="inlineStr">
        <is>
          <t xml:space="preserve">data/roadmap</t>
        </is>
      </c>
      <c r="K31" s="2">
        <v>46303</v>
      </c>
      <c r="L31">
        <f>IF($K31="","",IF($K31=TODAY(),COUNTIF($K$2:$K31,TODAY()),""))</f>
      </c>
    </row>
    <row r="32">
      <c r="A32" t="inlineStr">
        <is>
          <t xml:space="preserve">a0_num_031</t>
        </is>
      </c>
      <c r="B32" t="inlineStr">
        <is>
          <t xml:space="preserve">A0</t>
        </is>
      </c>
      <c r="C32" t="inlineStr">
        <is>
          <t xml:space="preserve">number</t>
        </is>
      </c>
      <c r="D32" t="inlineStr">
        <is>
          <t xml:space="preserve">A0-003</t>
        </is>
      </c>
      <c r="E32" s="3" t="inlineStr">
        <is>
          <t xml:space="preserve">twenty</t>
        </is>
      </c>
      <c r="F32" s="3" t="inlineStr">
        <is>
          <t xml:space="preserve">hai mươi</t>
        </is>
      </c>
      <c r="G32" t="inlineStr">
        <is>
          <t xml:space="preserve">/ˈtwɛnti/</t>
        </is>
      </c>
      <c r="H32" s="3" t="inlineStr">
        <is>
          <t xml:space="preserve">My mother is fifty, not twenty.</t>
        </is>
      </c>
      <c r="I32" s="3" t="inlineStr">
        <is>
          <t xml:space="preserve">twenty minutes</t>
        </is>
      </c>
      <c r="J32" t="inlineStr">
        <is>
          <t xml:space="preserve">data/roadmap</t>
        </is>
      </c>
      <c r="K32" s="2">
        <v>46303</v>
      </c>
      <c r="L32">
        <f>IF($K32="","",IF($K32=TODAY(),COUNTIF($K$2:$K32,TODAY()),""))</f>
      </c>
    </row>
    <row r="33">
      <c r="A33" t="inlineStr">
        <is>
          <t xml:space="preserve">a0_num_032</t>
        </is>
      </c>
      <c r="B33" t="inlineStr">
        <is>
          <t xml:space="preserve">A0</t>
        </is>
      </c>
      <c r="C33" t="inlineStr">
        <is>
          <t xml:space="preserve">number</t>
        </is>
      </c>
      <c r="D33" t="inlineStr">
        <is>
          <t xml:space="preserve">A0-003</t>
        </is>
      </c>
      <c r="E33" s="3" t="inlineStr">
        <is>
          <t xml:space="preserve">hundred</t>
        </is>
      </c>
      <c r="F33" s="3" t="inlineStr">
        <is>
          <t xml:space="preserve">trăm</t>
        </is>
      </c>
      <c r="G33" t="inlineStr">
        <is>
          <t xml:space="preserve">/ˈhʌndrɪd/</t>
        </is>
      </c>
      <c r="H33" s="3" t="inlineStr">
        <is>
          <t xml:space="preserve">The book has a hundred pages.</t>
        </is>
      </c>
      <c r="I33" s="3" t="inlineStr">
        <is>
          <t xml:space="preserve">two hundred people</t>
        </is>
      </c>
      <c r="J33" t="inlineStr">
        <is>
          <t xml:space="preserve">data/roadmap</t>
        </is>
      </c>
      <c r="K33" s="2">
        <v>46303</v>
      </c>
      <c r="L33">
        <f>IF($K33="","",IF($K33=TODAY(),COUNTIF($K$2:$K33,TODAY()),""))</f>
      </c>
    </row>
    <row r="34">
      <c r="A34" t="inlineStr">
        <is>
          <t xml:space="preserve">a0_num_033</t>
        </is>
      </c>
      <c r="B34" t="inlineStr">
        <is>
          <t xml:space="preserve">A0</t>
        </is>
      </c>
      <c r="C34" t="inlineStr">
        <is>
          <t xml:space="preserve">time</t>
        </is>
      </c>
      <c r="D34" t="inlineStr">
        <is>
          <t xml:space="preserve">A0-003</t>
        </is>
      </c>
      <c r="E34" s="3" t="inlineStr">
        <is>
          <t xml:space="preserve">o'clock</t>
        </is>
      </c>
      <c r="F34" s="3" t="inlineStr">
        <is>
          <t xml:space="preserve">đúng giờ</t>
        </is>
      </c>
      <c r="G34" t="inlineStr">
        <is>
          <t xml:space="preserve">/əˈklɑk/</t>
        </is>
      </c>
      <c r="H34" s="3" t="inlineStr">
        <is>
          <t xml:space="preserve">The lesson starts at eight o'clock.</t>
        </is>
      </c>
      <c r="I34" s="3" t="inlineStr">
        <is>
          <t xml:space="preserve">three o'clock</t>
        </is>
      </c>
      <c r="J34" t="inlineStr">
        <is>
          <t xml:space="preserve">data/roadmap</t>
        </is>
      </c>
      <c r="K34" s="2">
        <v>46304</v>
      </c>
      <c r="L34">
        <f>IF($K34="","",IF($K34=TODAY(),COUNTIF($K$2:$K34,TODAY()),""))</f>
      </c>
    </row>
    <row r="35">
      <c r="A35" t="inlineStr">
        <is>
          <t xml:space="preserve">a0_num_034</t>
        </is>
      </c>
      <c r="B35" t="inlineStr">
        <is>
          <t xml:space="preserve">A0</t>
        </is>
      </c>
      <c r="C35" t="inlineStr">
        <is>
          <t xml:space="preserve">time</t>
        </is>
      </c>
      <c r="D35" t="inlineStr">
        <is>
          <t xml:space="preserve">A0-003</t>
        </is>
      </c>
      <c r="E35" s="3" t="inlineStr">
        <is>
          <t xml:space="preserve">hour</t>
        </is>
      </c>
      <c r="F35" s="3" t="inlineStr">
        <is>
          <t xml:space="preserve">giờ</t>
        </is>
      </c>
      <c r="G35" t="inlineStr">
        <is>
          <t xml:space="preserve">/ˈaʊɚ/</t>
        </is>
      </c>
      <c r="H35" s="3" t="inlineStr">
        <is>
          <t xml:space="preserve">I study for one hour.</t>
        </is>
      </c>
      <c r="I35" s="3" t="inlineStr">
        <is>
          <t xml:space="preserve">an hour ago, two hours</t>
        </is>
      </c>
      <c r="J35" t="inlineStr">
        <is>
          <t xml:space="preserve">data/roadmap</t>
        </is>
      </c>
      <c r="K35" s="2">
        <v>46304</v>
      </c>
      <c r="L35">
        <f>IF($K35="","",IF($K35=TODAY(),COUNTIF($K$2:$K35,TODAY()),""))</f>
      </c>
    </row>
    <row r="36">
      <c r="A36" t="inlineStr">
        <is>
          <t xml:space="preserve">a0_num_035</t>
        </is>
      </c>
      <c r="B36" t="inlineStr">
        <is>
          <t xml:space="preserve">A0</t>
        </is>
      </c>
      <c r="C36" t="inlineStr">
        <is>
          <t xml:space="preserve">time</t>
        </is>
      </c>
      <c r="D36" t="inlineStr">
        <is>
          <t xml:space="preserve">A0-003</t>
        </is>
      </c>
      <c r="E36" s="3" t="inlineStr">
        <is>
          <t xml:space="preserve">minute</t>
        </is>
      </c>
      <c r="F36" s="3" t="inlineStr">
        <is>
          <t xml:space="preserve">phút</t>
        </is>
      </c>
      <c r="G36" t="inlineStr">
        <is>
          <t xml:space="preserve">/ˈmɪnɪt/</t>
        </is>
      </c>
      <c r="H36" s="3" t="inlineStr">
        <is>
          <t xml:space="preserve">Wait five minutes, please.</t>
        </is>
      </c>
      <c r="I36" s="3" t="inlineStr">
        <is>
          <t xml:space="preserve">a few minutes</t>
        </is>
      </c>
      <c r="J36" t="inlineStr">
        <is>
          <t xml:space="preserve">data/roadmap</t>
        </is>
      </c>
      <c r="K36" s="2">
        <v>46304</v>
      </c>
      <c r="L36">
        <f>IF($K36="","",IF($K36=TODAY(),COUNTIF($K$2:$K36,TODAY()),""))</f>
      </c>
    </row>
    <row r="37">
      <c r="A37" t="inlineStr">
        <is>
          <t xml:space="preserve">a0_num_036</t>
        </is>
      </c>
      <c r="B37" t="inlineStr">
        <is>
          <t xml:space="preserve">A0</t>
        </is>
      </c>
      <c r="C37" t="inlineStr">
        <is>
          <t xml:space="preserve">time</t>
        </is>
      </c>
      <c r="D37" t="inlineStr">
        <is>
          <t xml:space="preserve">A0-003</t>
        </is>
      </c>
      <c r="E37" s="3" t="inlineStr">
        <is>
          <t xml:space="preserve">morning</t>
        </is>
      </c>
      <c r="F37" s="3" t="inlineStr">
        <is>
          <t xml:space="preserve">buổi sáng</t>
        </is>
      </c>
      <c r="G37" t="inlineStr">
        <is>
          <t xml:space="preserve">/ˈmɔrnɪŋ/</t>
        </is>
      </c>
      <c r="H37" s="3" t="inlineStr">
        <is>
          <t xml:space="preserve">I drink water every morning.</t>
        </is>
      </c>
      <c r="I37" s="3" t="inlineStr">
        <is>
          <t xml:space="preserve">good morning, in the morning</t>
        </is>
      </c>
      <c r="J37" t="inlineStr">
        <is>
          <t xml:space="preserve">data/roadmap</t>
        </is>
      </c>
      <c r="K37" s="2">
        <v>46304</v>
      </c>
      <c r="L37">
        <f>IF($K37="","",IF($K37=TODAY(),COUNTIF($K$2:$K37,TODAY()),""))</f>
      </c>
    </row>
    <row r="38">
      <c r="A38" t="inlineStr">
        <is>
          <t xml:space="preserve">a0_num_037</t>
        </is>
      </c>
      <c r="B38" t="inlineStr">
        <is>
          <t xml:space="preserve">A0</t>
        </is>
      </c>
      <c r="C38" t="inlineStr">
        <is>
          <t xml:space="preserve">time</t>
        </is>
      </c>
      <c r="D38" t="inlineStr">
        <is>
          <t xml:space="preserve">A0-003</t>
        </is>
      </c>
      <c r="E38" s="3" t="inlineStr">
        <is>
          <t xml:space="preserve">noon</t>
        </is>
      </c>
      <c r="F38" s="3" t="inlineStr">
        <is>
          <t xml:space="preserve">buổi trưa</t>
        </is>
      </c>
      <c r="G38" t="inlineStr">
        <is>
          <t xml:space="preserve">/nun/</t>
        </is>
      </c>
      <c r="H38" s="3" t="inlineStr">
        <is>
          <t xml:space="preserve">We eat rice at noon.</t>
        </is>
      </c>
      <c r="I38" s="3" t="inlineStr">
        <is>
          <t xml:space="preserve">at noon</t>
        </is>
      </c>
      <c r="J38" t="inlineStr">
        <is>
          <t xml:space="preserve">data/roadmap</t>
        </is>
      </c>
      <c r="K38" s="2">
        <v>46304</v>
      </c>
      <c r="L38">
        <f>IF($K38="","",IF($K38=TODAY(),COUNTIF($K$2:$K38,TODAY()),""))</f>
      </c>
    </row>
    <row r="39">
      <c r="A39" t="inlineStr">
        <is>
          <t xml:space="preserve">a0_num_038</t>
        </is>
      </c>
      <c r="B39" t="inlineStr">
        <is>
          <t xml:space="preserve">A0</t>
        </is>
      </c>
      <c r="C39" t="inlineStr">
        <is>
          <t xml:space="preserve">time</t>
        </is>
      </c>
      <c r="D39" t="inlineStr">
        <is>
          <t xml:space="preserve">A0-003</t>
        </is>
      </c>
      <c r="E39" s="3" t="inlineStr">
        <is>
          <t xml:space="preserve">evening</t>
        </is>
      </c>
      <c r="F39" s="3" t="inlineStr">
        <is>
          <t xml:space="preserve">buổi tối</t>
        </is>
      </c>
      <c r="G39" t="inlineStr">
        <is>
          <t xml:space="preserve">/ˈivnɪŋ/</t>
        </is>
      </c>
      <c r="H39" s="3" t="inlineStr">
        <is>
          <t xml:space="preserve">I watch TV in the evening.</t>
        </is>
      </c>
      <c r="I39" s="3" t="inlineStr">
        <is>
          <t xml:space="preserve">good evening</t>
        </is>
      </c>
      <c r="J39" t="inlineStr">
        <is>
          <t xml:space="preserve">data/roadmap</t>
        </is>
      </c>
      <c r="K39" s="2">
        <v>46304</v>
      </c>
      <c r="L39">
        <f>IF($K39="","",IF($K39=TODAY(),COUNTIF($K$2:$K39,TODAY()),""))</f>
      </c>
    </row>
    <row r="40">
      <c r="A40" t="inlineStr">
        <is>
          <t xml:space="preserve">a0_num_039</t>
        </is>
      </c>
      <c r="B40" t="inlineStr">
        <is>
          <t xml:space="preserve">A0</t>
        </is>
      </c>
      <c r="C40" t="inlineStr">
        <is>
          <t xml:space="preserve">time</t>
        </is>
      </c>
      <c r="D40" t="inlineStr">
        <is>
          <t xml:space="preserve">A0-003</t>
        </is>
      </c>
      <c r="E40" s="3" t="inlineStr">
        <is>
          <t xml:space="preserve">night</t>
        </is>
      </c>
      <c r="F40" s="3" t="inlineStr">
        <is>
          <t xml:space="preserve">ban đêm</t>
        </is>
      </c>
      <c r="G40" t="inlineStr">
        <is>
          <t xml:space="preserve">/naɪt/</t>
        </is>
      </c>
      <c r="H40" s="3" t="inlineStr">
        <is>
          <t xml:space="preserve">The house is quiet at night.</t>
        </is>
      </c>
      <c r="I40" s="3" t="inlineStr">
        <is>
          <t xml:space="preserve">last night, good night</t>
        </is>
      </c>
      <c r="J40" t="inlineStr">
        <is>
          <t xml:space="preserve">data/roadmap</t>
        </is>
      </c>
      <c r="K40" s="2">
        <v>46304</v>
      </c>
      <c r="L40">
        <f>IF($K40="","",IF($K40=TODAY(),COUNTIF($K$2:$K40,TODAY()),""))</f>
      </c>
    </row>
    <row r="41">
      <c r="A41" t="inlineStr">
        <is>
          <t xml:space="preserve">a0_num_040</t>
        </is>
      </c>
      <c r="B41" t="inlineStr">
        <is>
          <t xml:space="preserve">A0</t>
        </is>
      </c>
      <c r="C41" t="inlineStr">
        <is>
          <t xml:space="preserve">time</t>
        </is>
      </c>
      <c r="D41" t="inlineStr">
        <is>
          <t xml:space="preserve">A0-003</t>
        </is>
      </c>
      <c r="E41" s="3" t="inlineStr">
        <is>
          <t xml:space="preserve">today</t>
        </is>
      </c>
      <c r="F41" s="3" t="inlineStr">
        <is>
          <t xml:space="preserve">hôm nay</t>
        </is>
      </c>
      <c r="G41" t="inlineStr">
        <is>
          <t xml:space="preserve">/təˈdeɪ/</t>
        </is>
      </c>
      <c r="H41" s="3" t="inlineStr">
        <is>
          <t xml:space="preserve">Today I learn ten new words.</t>
        </is>
      </c>
      <c r="I41" s="3" t="inlineStr">
        <is>
          <t xml:space="preserve">today is Monday</t>
        </is>
      </c>
      <c r="J41" t="inlineStr">
        <is>
          <t xml:space="preserve">data/roadmap</t>
        </is>
      </c>
      <c r="K41" s="2">
        <v>46304</v>
      </c>
      <c r="L41">
        <f>IF($K41="","",IF($K41=TODAY(),COUNTIF($K$2:$K41,TODAY()),""))</f>
      </c>
    </row>
    <row r="42">
      <c r="A42" t="inlineStr">
        <is>
          <t xml:space="preserve">a0_num_041</t>
        </is>
      </c>
      <c r="B42" t="inlineStr">
        <is>
          <t xml:space="preserve">A0</t>
        </is>
      </c>
      <c r="C42" t="inlineStr">
        <is>
          <t xml:space="preserve">time</t>
        </is>
      </c>
      <c r="D42" t="inlineStr">
        <is>
          <t xml:space="preserve">A0-003</t>
        </is>
      </c>
      <c r="E42" s="3" t="inlineStr">
        <is>
          <t xml:space="preserve">tomorrow</t>
        </is>
      </c>
      <c r="F42" s="3" t="inlineStr">
        <is>
          <t xml:space="preserve">ngày mai</t>
        </is>
      </c>
      <c r="G42" t="inlineStr">
        <is>
          <t xml:space="preserve">/təˈmɑroʊ/</t>
        </is>
      </c>
      <c r="H42" s="3" t="inlineStr">
        <is>
          <t xml:space="preserve">Tomorrow I study numbers.</t>
        </is>
      </c>
      <c r="I42" s="3" t="inlineStr">
        <is>
          <t xml:space="preserve">tomorrow morning</t>
        </is>
      </c>
      <c r="J42" t="inlineStr">
        <is>
          <t xml:space="preserve">data/roadmap</t>
        </is>
      </c>
      <c r="K42" s="2">
        <v>46305</v>
      </c>
      <c r="L42">
        <f>IF($K42="","",IF($K42=TODAY(),COUNTIF($K$2:$K42,TODAY()),""))</f>
      </c>
    </row>
    <row r="43">
      <c r="A43" t="inlineStr">
        <is>
          <t xml:space="preserve">a0_num_042</t>
        </is>
      </c>
      <c r="B43" t="inlineStr">
        <is>
          <t xml:space="preserve">A0</t>
        </is>
      </c>
      <c r="C43" t="inlineStr">
        <is>
          <t xml:space="preserve">time</t>
        </is>
      </c>
      <c r="D43" t="inlineStr">
        <is>
          <t xml:space="preserve">A0-003</t>
        </is>
      </c>
      <c r="E43" s="3" t="inlineStr">
        <is>
          <t xml:space="preserve">yesterday</t>
        </is>
      </c>
      <c r="F43" s="3" t="inlineStr">
        <is>
          <t xml:space="preserve">hôm qua</t>
        </is>
      </c>
      <c r="G43" t="inlineStr">
        <is>
          <t xml:space="preserve">/ˈjɛstɚdeɪ/</t>
        </is>
      </c>
      <c r="H43" s="3" t="inlineStr">
        <is>
          <t xml:space="preserve">Yesterday I wrote my name.</t>
        </is>
      </c>
      <c r="I43" s="3" t="inlineStr">
        <is>
          <t xml:space="preserve">last yesterday</t>
        </is>
      </c>
      <c r="J43" t="inlineStr">
        <is>
          <t xml:space="preserve">data/roadmap</t>
        </is>
      </c>
      <c r="K43" s="2">
        <v>46305</v>
      </c>
      <c r="L43">
        <f>IF($K43="","",IF($K43=TODAY(),COUNTIF($K$2:$K43,TODAY()),""))</f>
      </c>
    </row>
    <row r="44">
      <c r="A44" t="inlineStr">
        <is>
          <t xml:space="preserve">a0_num_043</t>
        </is>
      </c>
      <c r="B44" t="inlineStr">
        <is>
          <t xml:space="preserve">A0</t>
        </is>
      </c>
      <c r="C44" t="inlineStr">
        <is>
          <t xml:space="preserve">time</t>
        </is>
      </c>
      <c r="D44" t="inlineStr">
        <is>
          <t xml:space="preserve">A0-003</t>
        </is>
      </c>
      <c r="E44" s="3" t="inlineStr">
        <is>
          <t xml:space="preserve">week</t>
        </is>
      </c>
      <c r="F44" s="3" t="inlineStr">
        <is>
          <t xml:space="preserve">tuần</t>
        </is>
      </c>
      <c r="G44" t="inlineStr">
        <is>
          <t xml:space="preserve">/wik/</t>
        </is>
      </c>
      <c r="H44" s="3" t="inlineStr">
        <is>
          <t xml:space="preserve">I study six days a week.</t>
        </is>
      </c>
      <c r="I44" s="3" t="inlineStr">
        <is>
          <t xml:space="preserve">this week, next week</t>
        </is>
      </c>
      <c r="J44" t="inlineStr">
        <is>
          <t xml:space="preserve">data/roadmap</t>
        </is>
      </c>
      <c r="K44" s="2">
        <v>46305</v>
      </c>
      <c r="L44">
        <f>IF($K44="","",IF($K44=TODAY(),COUNTIF($K$2:$K44,TODAY()),""))</f>
      </c>
    </row>
    <row r="45">
      <c r="A45" t="inlineStr">
        <is>
          <t xml:space="preserve">a0_num_044</t>
        </is>
      </c>
      <c r="B45" t="inlineStr">
        <is>
          <t xml:space="preserve">A0</t>
        </is>
      </c>
      <c r="C45" t="inlineStr">
        <is>
          <t xml:space="preserve">time</t>
        </is>
      </c>
      <c r="D45" t="inlineStr">
        <is>
          <t xml:space="preserve">A0-003</t>
        </is>
      </c>
      <c r="E45" s="3" t="inlineStr">
        <is>
          <t xml:space="preserve">month</t>
        </is>
      </c>
      <c r="F45" s="3" t="inlineStr">
        <is>
          <t xml:space="preserve">tháng</t>
        </is>
      </c>
      <c r="G45" t="inlineStr">
        <is>
          <t xml:space="preserve">/mʌnθ/</t>
        </is>
      </c>
      <c r="H45" s="3" t="inlineStr">
        <is>
          <t xml:space="preserve">I start a new month of lessons.</t>
        </is>
      </c>
      <c r="I45" s="3" t="inlineStr">
        <is>
          <t xml:space="preserve">this month, a month ago</t>
        </is>
      </c>
      <c r="J45" t="inlineStr">
        <is>
          <t xml:space="preserve">data/roadmap</t>
        </is>
      </c>
      <c r="K45" s="2">
        <v>46305</v>
      </c>
      <c r="L45">
        <f>IF($K45="","",IF($K45=TODAY(),COUNTIF($K$2:$K45,TODAY()),""))</f>
      </c>
    </row>
    <row r="46">
      <c r="A46" t="inlineStr">
        <is>
          <t xml:space="preserve">a0_num_045</t>
        </is>
      </c>
      <c r="B46" t="inlineStr">
        <is>
          <t xml:space="preserve">A0</t>
        </is>
      </c>
      <c r="C46" t="inlineStr">
        <is>
          <t xml:space="preserve">time</t>
        </is>
      </c>
      <c r="D46" t="inlineStr">
        <is>
          <t xml:space="preserve">A0-003</t>
        </is>
      </c>
      <c r="E46" s="3" t="inlineStr">
        <is>
          <t xml:space="preserve">year</t>
        </is>
      </c>
      <c r="F46" s="3" t="inlineStr">
        <is>
          <t xml:space="preserve">năm</t>
        </is>
      </c>
      <c r="G46" t="inlineStr">
        <is>
          <t xml:space="preserve">/jɪr/</t>
        </is>
      </c>
      <c r="H46" s="3" t="inlineStr">
        <is>
          <t xml:space="preserve">This is my first year of English.</t>
        </is>
      </c>
      <c r="I46" s="3" t="inlineStr">
        <is>
          <t xml:space="preserve">last year, how old are you</t>
        </is>
      </c>
      <c r="J46" t="inlineStr">
        <is>
          <t xml:space="preserve">data/roadmap</t>
        </is>
      </c>
      <c r="K46" s="2">
        <v>46305</v>
      </c>
      <c r="L46">
        <f>IF($K46="","",IF($K46=TODAY(),COUNTIF($K$2:$K46,TODAY()),""))</f>
      </c>
    </row>
    <row r="47">
      <c r="A47" t="inlineStr">
        <is>
          <t xml:space="preserve">a0_num_046</t>
        </is>
      </c>
      <c r="B47" t="inlineStr">
        <is>
          <t xml:space="preserve">A0</t>
        </is>
      </c>
      <c r="C47" t="inlineStr">
        <is>
          <t xml:space="preserve">adjective</t>
        </is>
      </c>
      <c r="D47" t="inlineStr">
        <is>
          <t xml:space="preserve">A0-003</t>
        </is>
      </c>
      <c r="E47" s="3" t="inlineStr">
        <is>
          <t xml:space="preserve">early</t>
        </is>
      </c>
      <c r="F47" s="3" t="inlineStr">
        <is>
          <t xml:space="preserve">sớm</t>
        </is>
      </c>
      <c r="G47" t="inlineStr">
        <is>
          <t xml:space="preserve">/ˈɜrli/</t>
        </is>
      </c>
      <c r="H47" s="3" t="inlineStr">
        <is>
          <t xml:space="preserve">I wake up early in the morning.</t>
        </is>
      </c>
      <c r="I47" s="3" t="inlineStr">
        <is>
          <t xml:space="preserve">early morning</t>
        </is>
      </c>
      <c r="J47" t="inlineStr">
        <is>
          <t xml:space="preserve">data/roadmap</t>
        </is>
      </c>
      <c r="K47" s="2">
        <v>46305</v>
      </c>
      <c r="L47">
        <f>IF($K47="","",IF($K47=TODAY(),COUNTIF($K$2:$K47,TODAY()),""))</f>
      </c>
    </row>
    <row r="48">
      <c r="A48" t="inlineStr">
        <is>
          <t xml:space="preserve">a0_num_047</t>
        </is>
      </c>
      <c r="B48" t="inlineStr">
        <is>
          <t xml:space="preserve">A0</t>
        </is>
      </c>
      <c r="C48" t="inlineStr">
        <is>
          <t xml:space="preserve">adjective</t>
        </is>
      </c>
      <c r="D48" t="inlineStr">
        <is>
          <t xml:space="preserve">A0-003</t>
        </is>
      </c>
      <c r="E48" s="3" t="inlineStr">
        <is>
          <t xml:space="preserve">late</t>
        </is>
      </c>
      <c r="F48" s="3" t="inlineStr">
        <is>
          <t xml:space="preserve">muộn</t>
        </is>
      </c>
      <c r="G48" t="inlineStr">
        <is>
          <t xml:space="preserve">/leɪt/</t>
        </is>
      </c>
      <c r="H48" s="3" t="inlineStr">
        <is>
          <t xml:space="preserve">Do not be late for class.</t>
        </is>
      </c>
      <c r="I48" s="3" t="inlineStr">
        <is>
          <t xml:space="preserve">late at night</t>
        </is>
      </c>
      <c r="J48" t="inlineStr">
        <is>
          <t xml:space="preserve">data/roadmap</t>
        </is>
      </c>
      <c r="K48" s="2">
        <v>46305</v>
      </c>
      <c r="L48">
        <f>IF($K48="","",IF($K48=TODAY(),COUNTIF($K$2:$K48,TODAY()),""))</f>
      </c>
    </row>
    <row r="49">
      <c r="A49" t="inlineStr">
        <is>
          <t xml:space="preserve">a0_greet_048</t>
        </is>
      </c>
      <c r="B49" t="inlineStr">
        <is>
          <t xml:space="preserve">A0</t>
        </is>
      </c>
      <c r="C49" t="inlineStr">
        <is>
          <t xml:space="preserve">greeting</t>
        </is>
      </c>
      <c r="D49" t="inlineStr">
        <is>
          <t xml:space="preserve">A0-004</t>
        </is>
      </c>
      <c r="E49" s="3" t="inlineStr">
        <is>
          <t xml:space="preserve">goodbye</t>
        </is>
      </c>
      <c r="F49" s="3" t="inlineStr">
        <is>
          <t xml:space="preserve">tạm biệt</t>
        </is>
      </c>
      <c r="G49" t="inlineStr">
        <is>
          <t xml:space="preserve">/ˌɡʊdˈbaɪ/</t>
        </is>
      </c>
      <c r="H49" s="3" t="inlineStr">
        <is>
          <t xml:space="preserve">Say goodbye to your friend.</t>
        </is>
      </c>
      <c r="I49" s="3" t="inlineStr">
        <is>
          <t xml:space="preserve">say goodbye</t>
        </is>
      </c>
      <c r="J49" t="inlineStr">
        <is>
          <t xml:space="preserve">data/roadmap</t>
        </is>
      </c>
      <c r="K49" s="2">
        <v>46305</v>
      </c>
      <c r="L49">
        <f>IF($K49="","",IF($K49=TODAY(),COUNTIF($K$2:$K49,TODAY()),""))</f>
      </c>
    </row>
    <row r="50">
      <c r="A50" t="inlineStr">
        <is>
          <t xml:space="preserve">a0_greet_049</t>
        </is>
      </c>
      <c r="B50" t="inlineStr">
        <is>
          <t xml:space="preserve">A0</t>
        </is>
      </c>
      <c r="C50" t="inlineStr">
        <is>
          <t xml:space="preserve">greeting</t>
        </is>
      </c>
      <c r="D50" t="inlineStr">
        <is>
          <t xml:space="preserve">A0-004</t>
        </is>
      </c>
      <c r="E50" s="3" t="inlineStr">
        <is>
          <t xml:space="preserve">please</t>
        </is>
      </c>
      <c r="F50" s="3" t="inlineStr">
        <is>
          <t xml:space="preserve">làm ơn</t>
        </is>
      </c>
      <c r="G50" t="inlineStr">
        <is>
          <t xml:space="preserve">/pliz/</t>
        </is>
      </c>
      <c r="H50" s="3" t="inlineStr">
        <is>
          <t xml:space="preserve">Repeat this, please.</t>
        </is>
      </c>
      <c r="I50" s="3" t="inlineStr">
        <is>
          <t xml:space="preserve">yes please</t>
        </is>
      </c>
      <c r="J50" t="inlineStr">
        <is>
          <t xml:space="preserve">data/roadmap</t>
        </is>
      </c>
      <c r="K50" s="2">
        <v>46307</v>
      </c>
      <c r="L50">
        <f>IF($K50="","",IF($K50=TODAY(),COUNTIF($K$2:$K50,TODAY()),""))</f>
      </c>
    </row>
    <row r="51">
      <c r="A51" t="inlineStr">
        <is>
          <t xml:space="preserve">a0_greet_050</t>
        </is>
      </c>
      <c r="B51" t="inlineStr">
        <is>
          <t xml:space="preserve">A0</t>
        </is>
      </c>
      <c r="C51" t="inlineStr">
        <is>
          <t xml:space="preserve">greeting</t>
        </is>
      </c>
      <c r="D51" t="inlineStr">
        <is>
          <t xml:space="preserve">A0-004</t>
        </is>
      </c>
      <c r="E51" s="3" t="inlineStr">
        <is>
          <t xml:space="preserve">thanks</t>
        </is>
      </c>
      <c r="F51" s="3" t="inlineStr">
        <is>
          <t xml:space="preserve">cảm ơn</t>
        </is>
      </c>
      <c r="G51" t="inlineStr">
        <is>
          <t xml:space="preserve">/θæŋks/</t>
        </is>
      </c>
      <c r="H51" s="3" t="inlineStr">
        <is>
          <t xml:space="preserve">Thanks for your help.</t>
        </is>
      </c>
      <c r="I51" s="3" t="inlineStr">
        <is>
          <t xml:space="preserve">thanks a lot</t>
        </is>
      </c>
      <c r="J51" t="inlineStr">
        <is>
          <t xml:space="preserve">data/roadmap</t>
        </is>
      </c>
      <c r="K51" s="2">
        <v>46307</v>
      </c>
      <c r="L51">
        <f>IF($K51="","",IF($K51=TODAY(),COUNTIF($K$2:$K51,TODAY()),""))</f>
      </c>
    </row>
    <row r="52">
      <c r="A52" t="inlineStr">
        <is>
          <t xml:space="preserve">a0_greet_051</t>
        </is>
      </c>
      <c r="B52" t="inlineStr">
        <is>
          <t xml:space="preserve">A0</t>
        </is>
      </c>
      <c r="C52" t="inlineStr">
        <is>
          <t xml:space="preserve">greeting</t>
        </is>
      </c>
      <c r="D52" t="inlineStr">
        <is>
          <t xml:space="preserve">A0-004</t>
        </is>
      </c>
      <c r="E52" s="3" t="inlineStr">
        <is>
          <t xml:space="preserve">sorry</t>
        </is>
      </c>
      <c r="F52" s="3" t="inlineStr">
        <is>
          <t xml:space="preserve">xin lỗi</t>
        </is>
      </c>
      <c r="G52" t="inlineStr">
        <is>
          <t xml:space="preserve">/ˈsɑri/</t>
        </is>
      </c>
      <c r="H52" s="3" t="inlineStr">
        <is>
          <t xml:space="preserve">Sorry, I am late.</t>
        </is>
      </c>
      <c r="I52" s="3" t="inlineStr">
        <is>
          <t xml:space="preserve">sorry for</t>
        </is>
      </c>
      <c r="J52" t="inlineStr">
        <is>
          <t xml:space="preserve">data/roadmap</t>
        </is>
      </c>
      <c r="K52" s="2">
        <v>46307</v>
      </c>
      <c r="L52">
        <f>IF($K52="","",IF($K52=TODAY(),COUNTIF($K$2:$K52,TODAY()),""))</f>
      </c>
    </row>
    <row r="53">
      <c r="A53" t="inlineStr">
        <is>
          <t xml:space="preserve">a0_greet_052</t>
        </is>
      </c>
      <c r="B53" t="inlineStr">
        <is>
          <t xml:space="preserve">A0</t>
        </is>
      </c>
      <c r="C53" t="inlineStr">
        <is>
          <t xml:space="preserve">verb</t>
        </is>
      </c>
      <c r="D53" t="inlineStr">
        <is>
          <t xml:space="preserve">A0-004</t>
        </is>
      </c>
      <c r="E53" s="3" t="inlineStr">
        <is>
          <t xml:space="preserve">meet</t>
        </is>
      </c>
      <c r="F53" s="3" t="inlineStr">
        <is>
          <t xml:space="preserve">gặp</t>
        </is>
      </c>
      <c r="G53" t="inlineStr">
        <is>
          <t xml:space="preserve">/mit/</t>
        </is>
      </c>
      <c r="H53" s="3" t="inlineStr">
        <is>
          <t xml:space="preserve">Nice to meet you.</t>
        </is>
      </c>
      <c r="I53" s="3" t="inlineStr">
        <is>
          <t xml:space="preserve">meet a friend</t>
        </is>
      </c>
      <c r="J53" t="inlineStr">
        <is>
          <t xml:space="preserve">data/roadmap</t>
        </is>
      </c>
      <c r="K53" s="2">
        <v>46307</v>
      </c>
      <c r="L53">
        <f>IF($K53="","",IF($K53=TODAY(),COUNTIF($K$2:$K53,TODAY()),""))</f>
      </c>
    </row>
    <row r="54">
      <c r="A54" t="inlineStr">
        <is>
          <t xml:space="preserve">a0_greet_053</t>
        </is>
      </c>
      <c r="B54" t="inlineStr">
        <is>
          <t xml:space="preserve">A0</t>
        </is>
      </c>
      <c r="C54" t="inlineStr">
        <is>
          <t xml:space="preserve">adjective</t>
        </is>
      </c>
      <c r="D54" t="inlineStr">
        <is>
          <t xml:space="preserve">A0-004</t>
        </is>
      </c>
      <c r="E54" s="3" t="inlineStr">
        <is>
          <t xml:space="preserve">nice</t>
        </is>
      </c>
      <c r="F54" s="3" t="inlineStr">
        <is>
          <t xml:space="preserve">đẹp, dễ chịu</t>
        </is>
      </c>
      <c r="G54" t="inlineStr">
        <is>
          <t xml:space="preserve">/naɪs/</t>
        </is>
      </c>
      <c r="H54" s="3" t="inlineStr">
        <is>
          <t xml:space="preserve">Your school is very nice.</t>
        </is>
      </c>
      <c r="I54" s="3" t="inlineStr">
        <is>
          <t xml:space="preserve">nice to meet you</t>
        </is>
      </c>
      <c r="J54" t="inlineStr">
        <is>
          <t xml:space="preserve">data/roadmap</t>
        </is>
      </c>
      <c r="K54" s="2">
        <v>46307</v>
      </c>
      <c r="L54">
        <f>IF($K54="","",IF($K54=TODAY(),COUNTIF($K$2:$K54,TODAY()),""))</f>
      </c>
    </row>
    <row r="55">
      <c r="A55" t="inlineStr">
        <is>
          <t xml:space="preserve">a0_greet_054</t>
        </is>
      </c>
      <c r="B55" t="inlineStr">
        <is>
          <t xml:space="preserve">A0</t>
        </is>
      </c>
      <c r="C55" t="inlineStr">
        <is>
          <t xml:space="preserve">greeting</t>
        </is>
      </c>
      <c r="D55" t="inlineStr">
        <is>
          <t xml:space="preserve">A0-004</t>
        </is>
      </c>
      <c r="E55" s="3" t="inlineStr">
        <is>
          <t xml:space="preserve">welcome</t>
        </is>
      </c>
      <c r="F55" s="3" t="inlineStr">
        <is>
          <t xml:space="preserve">chào mừng</t>
        </is>
      </c>
      <c r="G55" t="inlineStr">
        <is>
          <t xml:space="preserve">/ˈwɛlkəm/</t>
        </is>
      </c>
      <c r="H55" s="3" t="inlineStr">
        <is>
          <t xml:space="preserve">Welcome to my class.</t>
        </is>
      </c>
      <c r="I55" s="3" t="inlineStr">
        <is>
          <t xml:space="preserve">you are welcome</t>
        </is>
      </c>
      <c r="J55" t="inlineStr">
        <is>
          <t xml:space="preserve">data/roadmap</t>
        </is>
      </c>
      <c r="K55" s="2">
        <v>46307</v>
      </c>
      <c r="L55">
        <f>IF($K55="","",IF($K55=TODAY(),COUNTIF($K$2:$K55,TODAY()),""))</f>
      </c>
    </row>
    <row r="56">
      <c r="A56" t="inlineStr">
        <is>
          <t xml:space="preserve">a0_greet_055</t>
        </is>
      </c>
      <c r="B56" t="inlineStr">
        <is>
          <t xml:space="preserve">A0</t>
        </is>
      </c>
      <c r="C56" t="inlineStr">
        <is>
          <t xml:space="preserve">people</t>
        </is>
      </c>
      <c r="D56" t="inlineStr">
        <is>
          <t xml:space="preserve">A0-004</t>
        </is>
      </c>
      <c r="E56" s="3" t="inlineStr">
        <is>
          <t xml:space="preserve">friend</t>
        </is>
      </c>
      <c r="F56" s="3" t="inlineStr">
        <is>
          <t xml:space="preserve">bạn bè</t>
        </is>
      </c>
      <c r="G56" t="inlineStr">
        <is>
          <t xml:space="preserve">/frɛnd/</t>
        </is>
      </c>
      <c r="H56" s="3" t="inlineStr">
        <is>
          <t xml:space="preserve">She is my friend.</t>
        </is>
      </c>
      <c r="I56" s="3" t="inlineStr">
        <is>
          <t xml:space="preserve">a good friend</t>
        </is>
      </c>
      <c r="J56" t="inlineStr">
        <is>
          <t xml:space="preserve">data/roadmap</t>
        </is>
      </c>
      <c r="K56" s="2">
        <v>46307</v>
      </c>
      <c r="L56">
        <f>IF($K56="","",IF($K56=TODAY(),COUNTIF($K$2:$K56,TODAY()),""))</f>
      </c>
    </row>
    <row r="57">
      <c r="A57" t="inlineStr">
        <is>
          <t xml:space="preserve">a0_greet_056</t>
        </is>
      </c>
      <c r="B57" t="inlineStr">
        <is>
          <t xml:space="preserve">A0</t>
        </is>
      </c>
      <c r="C57" t="inlineStr">
        <is>
          <t xml:space="preserve">people</t>
        </is>
      </c>
      <c r="D57" t="inlineStr">
        <is>
          <t xml:space="preserve">A0-004</t>
        </is>
      </c>
      <c r="E57" s="3" t="inlineStr">
        <is>
          <t xml:space="preserve">country</t>
        </is>
      </c>
      <c r="F57" s="3" t="inlineStr">
        <is>
          <t xml:space="preserve">đất nước</t>
        </is>
      </c>
      <c r="G57" t="inlineStr">
        <is>
          <t xml:space="preserve">/ˈkʌntri/</t>
        </is>
      </c>
      <c r="H57" s="3" t="inlineStr">
        <is>
          <t xml:space="preserve">My country is Vietnam.</t>
        </is>
      </c>
      <c r="I57" s="3" t="inlineStr">
        <is>
          <t xml:space="preserve">my home country</t>
        </is>
      </c>
      <c r="J57" t="inlineStr">
        <is>
          <t xml:space="preserve">data/roadmap</t>
        </is>
      </c>
      <c r="K57" s="2">
        <v>46307</v>
      </c>
      <c r="L57">
        <f>IF($K57="","",IF($K57=TODAY(),COUNTIF($K$2:$K57,TODAY()),""))</f>
      </c>
    </row>
    <row r="58">
      <c r="A58" t="inlineStr">
        <is>
          <t xml:space="preserve">a0_greet_057</t>
        </is>
      </c>
      <c r="B58" t="inlineStr">
        <is>
          <t xml:space="preserve">A0</t>
        </is>
      </c>
      <c r="C58" t="inlineStr">
        <is>
          <t xml:space="preserve">people</t>
        </is>
      </c>
      <c r="D58" t="inlineStr">
        <is>
          <t xml:space="preserve">A0-004</t>
        </is>
      </c>
      <c r="E58" s="3" t="inlineStr">
        <is>
          <t xml:space="preserve">student</t>
        </is>
      </c>
      <c r="F58" s="3" t="inlineStr">
        <is>
          <t xml:space="preserve">học sinh</t>
        </is>
      </c>
      <c r="G58" t="inlineStr">
        <is>
          <t xml:space="preserve">/ˈstudənt/</t>
        </is>
      </c>
      <c r="H58" s="3" t="inlineStr">
        <is>
          <t xml:space="preserve">I am a student.</t>
        </is>
      </c>
      <c r="I58" s="3" t="inlineStr">
        <is>
          <t xml:space="preserve">a new student</t>
        </is>
      </c>
      <c r="J58" t="inlineStr">
        <is>
          <t xml:space="preserve">data/roadmap</t>
        </is>
      </c>
      <c r="K58" s="2">
        <v>46308</v>
      </c>
      <c r="L58">
        <f>IF($K58="","",IF($K58=TODAY(),COUNTIF($K$2:$K58,TODAY()),""))</f>
      </c>
    </row>
    <row r="59">
      <c r="A59" t="inlineStr">
        <is>
          <t xml:space="preserve">a0_greet_058</t>
        </is>
      </c>
      <c r="B59" t="inlineStr">
        <is>
          <t xml:space="preserve">A0</t>
        </is>
      </c>
      <c r="C59" t="inlineStr">
        <is>
          <t xml:space="preserve">people</t>
        </is>
      </c>
      <c r="D59" t="inlineStr">
        <is>
          <t xml:space="preserve">A0-004</t>
        </is>
      </c>
      <c r="E59" s="3" t="inlineStr">
        <is>
          <t xml:space="preserve">teacher</t>
        </is>
      </c>
      <c r="F59" s="3" t="inlineStr">
        <is>
          <t xml:space="preserve">giáo viên</t>
        </is>
      </c>
      <c r="G59" t="inlineStr">
        <is>
          <t xml:space="preserve">/ˈtitʃɚ/</t>
        </is>
      </c>
      <c r="H59" s="3" t="inlineStr">
        <is>
          <t xml:space="preserve">My teacher is patient.</t>
        </is>
      </c>
      <c r="I59" s="3" t="inlineStr">
        <is>
          <t xml:space="preserve">an English teacher</t>
        </is>
      </c>
      <c r="J59" t="inlineStr">
        <is>
          <t xml:space="preserve">data/roadmap</t>
        </is>
      </c>
      <c r="K59" s="2">
        <v>46308</v>
      </c>
      <c r="L59">
        <f>IF($K59="","",IF($K59=TODAY(),COUNTIF($K$2:$K59,TODAY()),""))</f>
      </c>
    </row>
    <row r="60">
      <c r="A60" t="inlineStr">
        <is>
          <t xml:space="preserve">a0_greet_059</t>
        </is>
      </c>
      <c r="B60" t="inlineStr">
        <is>
          <t xml:space="preserve">A0</t>
        </is>
      </c>
      <c r="C60" t="inlineStr">
        <is>
          <t xml:space="preserve">verb</t>
        </is>
      </c>
      <c r="D60" t="inlineStr">
        <is>
          <t xml:space="preserve">A0-004</t>
        </is>
      </c>
      <c r="E60" s="3" t="inlineStr">
        <is>
          <t xml:space="preserve">work</t>
        </is>
      </c>
      <c r="F60" s="3" t="inlineStr">
        <is>
          <t xml:space="preserve">làm việc</t>
        </is>
      </c>
      <c r="G60" t="inlineStr">
        <is>
          <t xml:space="preserve">/wɜrk/</t>
        </is>
      </c>
      <c r="H60" s="3" t="inlineStr">
        <is>
          <t xml:space="preserve">I work in a small office.</t>
        </is>
      </c>
      <c r="I60" s="3" t="inlineStr">
        <is>
          <t xml:space="preserve">go to work, work hard</t>
        </is>
      </c>
      <c r="J60" t="inlineStr">
        <is>
          <t xml:space="preserve">data/roadmap</t>
        </is>
      </c>
      <c r="K60" s="2">
        <v>46308</v>
      </c>
      <c r="L60">
        <f>IF($K60="","",IF($K60=TODAY(),COUNTIF($K$2:$K60,TODAY()),""))</f>
      </c>
    </row>
    <row r="61">
      <c r="A61" t="inlineStr">
        <is>
          <t xml:space="preserve">a0_greet_060</t>
        </is>
      </c>
      <c r="B61" t="inlineStr">
        <is>
          <t xml:space="preserve">A0</t>
        </is>
      </c>
      <c r="C61" t="inlineStr">
        <is>
          <t xml:space="preserve">verb</t>
        </is>
      </c>
      <c r="D61" t="inlineStr">
        <is>
          <t xml:space="preserve">A0-004</t>
        </is>
      </c>
      <c r="E61" s="3" t="inlineStr">
        <is>
          <t xml:space="preserve">live</t>
        </is>
      </c>
      <c r="F61" s="3" t="inlineStr">
        <is>
          <t xml:space="preserve">sống, ở</t>
        </is>
      </c>
      <c r="G61" t="inlineStr">
        <is>
          <t xml:space="preserve">/lɪv/</t>
        </is>
      </c>
      <c r="H61" s="3" t="inlineStr">
        <is>
          <t xml:space="preserve">I live in Da Nang.</t>
        </is>
      </c>
      <c r="I61" s="3" t="inlineStr">
        <is>
          <t xml:space="preserve">live in, live with</t>
        </is>
      </c>
      <c r="J61" t="inlineStr">
        <is>
          <t xml:space="preserve">data/roadmap</t>
        </is>
      </c>
      <c r="K61" s="2">
        <v>46308</v>
      </c>
      <c r="L61">
        <f>IF($K61="","",IF($K61=TODAY(),COUNTIF($K$2:$K61,TODAY()),""))</f>
      </c>
    </row>
    <row r="62">
      <c r="A62" t="inlineStr">
        <is>
          <t xml:space="preserve">a0_greet_061</t>
        </is>
      </c>
      <c r="B62" t="inlineStr">
        <is>
          <t xml:space="preserve">A0</t>
        </is>
      </c>
      <c r="C62" t="inlineStr">
        <is>
          <t xml:space="preserve">question</t>
        </is>
      </c>
      <c r="D62" t="inlineStr">
        <is>
          <t xml:space="preserve">A0-004</t>
        </is>
      </c>
      <c r="E62" s="3" t="inlineStr">
        <is>
          <t xml:space="preserve">from</t>
        </is>
      </c>
      <c r="F62" s="3" t="inlineStr">
        <is>
          <t xml:space="preserve">từ, đến từ</t>
        </is>
      </c>
      <c r="G62" t="inlineStr">
        <is>
          <t xml:space="preserve">/frʌm/</t>
        </is>
      </c>
      <c r="H62" s="3" t="inlineStr">
        <is>
          <t xml:space="preserve">I am from Vietnam.</t>
        </is>
      </c>
      <c r="I62" s="3" t="inlineStr">
        <is>
          <t xml:space="preserve">come from</t>
        </is>
      </c>
      <c r="J62" t="inlineStr">
        <is>
          <t xml:space="preserve">data/roadmap</t>
        </is>
      </c>
      <c r="K62" s="2">
        <v>46308</v>
      </c>
      <c r="L62">
        <f>IF($K62="","",IF($K62=TODAY(),COUNTIF($K$2:$K62,TODAY()),""))</f>
      </c>
    </row>
    <row r="63">
      <c r="A63" t="inlineStr">
        <is>
          <t xml:space="preserve">cur_v001</t>
        </is>
      </c>
      <c r="B63" t="inlineStr">
        <is>
          <t xml:space="preserve">A0</t>
        </is>
      </c>
      <c r="C63" t="inlineStr">
        <is>
          <t xml:space="preserve">greeting</t>
        </is>
      </c>
      <c r="D63" t="inlineStr">
        <is>
          <t xml:space="preserve">A0-004</t>
        </is>
      </c>
      <c r="E63" s="3" t="inlineStr">
        <is>
          <t xml:space="preserve">hello</t>
        </is>
      </c>
      <c r="F63" s="3" t="inlineStr">
        <is>
          <t xml:space="preserve">xin chào</t>
        </is>
      </c>
      <c r="G63" t="inlineStr">
        <is>
          <t xml:space="preserve">/həˈloʊ/</t>
        </is>
      </c>
      <c r="H63" s="3" t="inlineStr">
        <is>
          <t xml:space="preserve">Hello, my name is Anna.</t>
        </is>
      </c>
      <c r="I63" s="3" t="inlineStr">
        <is>
          <t xml:space="preserve">say hello, hello there</t>
        </is>
      </c>
      <c r="J63" t="inlineStr">
        <is>
          <t xml:space="preserve">data/roadmap</t>
        </is>
      </c>
      <c r="K63" s="2">
        <v>46308</v>
      </c>
      <c r="L63">
        <f>IF($K63="","",IF($K63=TODAY(),COUNTIF($K$2:$K63,TODAY()),""))</f>
      </c>
    </row>
    <row r="64">
      <c r="A64" t="inlineStr">
        <is>
          <t xml:space="preserve">cur_v002</t>
        </is>
      </c>
      <c r="B64" t="inlineStr">
        <is>
          <t xml:space="preserve">A0</t>
        </is>
      </c>
      <c r="C64" t="inlineStr">
        <is>
          <t xml:space="preserve">basic</t>
        </is>
      </c>
      <c r="D64" t="inlineStr">
        <is>
          <t xml:space="preserve">A0-004</t>
        </is>
      </c>
      <c r="E64" s="3" t="inlineStr">
        <is>
          <t xml:space="preserve">name</t>
        </is>
      </c>
      <c r="F64" s="3" t="inlineStr">
        <is>
          <t xml:space="preserve">tên</t>
        </is>
      </c>
      <c r="G64" t="inlineStr">
        <is>
          <t xml:space="preserve">/neɪm/</t>
        </is>
      </c>
      <c r="H64" s="3" t="inlineStr">
        <is>
          <t xml:space="preserve">My name is Tom.</t>
        </is>
      </c>
      <c r="I64" s="3" t="inlineStr">
        <is>
          <t xml:space="preserve">first name, full name</t>
        </is>
      </c>
      <c r="J64" t="inlineStr">
        <is>
          <t xml:space="preserve">data/roadmap</t>
        </is>
      </c>
      <c r="K64" s="2">
        <v>46308</v>
      </c>
      <c r="L64">
        <f>IF($K64="","",IF($K64=TODAY(),COUNTIF($K$2:$K64,TODAY()),""))</f>
      </c>
    </row>
    <row r="65">
      <c r="A65" t="inlineStr">
        <is>
          <t xml:space="preserve">cur_v005</t>
        </is>
      </c>
      <c r="B65" t="inlineStr">
        <is>
          <t xml:space="preserve">A0</t>
        </is>
      </c>
      <c r="C65" t="inlineStr">
        <is>
          <t xml:space="preserve">verb</t>
        </is>
      </c>
      <c r="D65" t="inlineStr">
        <is>
          <t xml:space="preserve">A0-004</t>
        </is>
      </c>
      <c r="E65" s="3" t="inlineStr">
        <is>
          <t xml:space="preserve">go</t>
        </is>
      </c>
      <c r="F65" s="3" t="inlineStr">
        <is>
          <t xml:space="preserve">đi</t>
        </is>
      </c>
      <c r="G65" t="inlineStr">
        <is>
          <t xml:space="preserve">/ɡoʊ/</t>
        </is>
      </c>
      <c r="H65" s="3" t="inlineStr">
        <is>
          <t xml:space="preserve">I go to work by bus.</t>
        </is>
      </c>
      <c r="I65" s="3" t="inlineStr">
        <is>
          <t xml:space="preserve">go to work, go home</t>
        </is>
      </c>
      <c r="J65" t="inlineStr">
        <is>
          <t xml:space="preserve">data/roadmap</t>
        </is>
      </c>
      <c r="K65" s="2">
        <v>46308</v>
      </c>
      <c r="L65">
        <f>IF($K65="","",IF($K65=TODAY(),COUNTIF($K$2:$K65,TODAY()),""))</f>
      </c>
    </row>
    <row r="66">
      <c r="A66" t="inlineStr">
        <is>
          <t xml:space="preserve">a0_pron_062</t>
        </is>
      </c>
      <c r="B66" t="inlineStr">
        <is>
          <t xml:space="preserve">A0</t>
        </is>
      </c>
      <c r="C66" t="inlineStr">
        <is>
          <t xml:space="preserve">pronoun</t>
        </is>
      </c>
      <c r="D66" t="inlineStr">
        <is>
          <t xml:space="preserve">A0-005</t>
        </is>
      </c>
      <c r="E66" s="3" t="inlineStr">
        <is>
          <t xml:space="preserve">I</t>
        </is>
      </c>
      <c r="F66" s="3" t="inlineStr">
        <is>
          <t xml:space="preserve">tôi</t>
        </is>
      </c>
      <c r="G66" t="inlineStr">
        <is>
          <t xml:space="preserve">/aɪ/</t>
        </is>
      </c>
      <c r="H66" s="3" t="inlineStr">
        <is>
          <t xml:space="preserve">I am here.</t>
        </is>
      </c>
      <c r="I66" s="3" t="inlineStr">
        <is>
          <t xml:space="preserve">I think, I would like</t>
        </is>
      </c>
      <c r="J66" t="inlineStr">
        <is>
          <t xml:space="preserve">data/roadmap</t>
        </is>
      </c>
      <c r="K66" s="2">
        <v>46309</v>
      </c>
      <c r="L66">
        <f>IF($K66="","",IF($K66=TODAY(),COUNTIF($K$2:$K66,TODAY()),""))</f>
      </c>
    </row>
    <row r="67">
      <c r="A67" t="inlineStr">
        <is>
          <t xml:space="preserve">a0_pron_063</t>
        </is>
      </c>
      <c r="B67" t="inlineStr">
        <is>
          <t xml:space="preserve">A0</t>
        </is>
      </c>
      <c r="C67" t="inlineStr">
        <is>
          <t xml:space="preserve">pronoun</t>
        </is>
      </c>
      <c r="D67" t="inlineStr">
        <is>
          <t xml:space="preserve">A0-005</t>
        </is>
      </c>
      <c r="E67" s="3" t="inlineStr">
        <is>
          <t xml:space="preserve">you</t>
        </is>
      </c>
      <c r="F67" s="3" t="inlineStr">
        <is>
          <t xml:space="preserve">bạn</t>
        </is>
      </c>
      <c r="G67" t="inlineStr">
        <is>
          <t xml:space="preserve">/ju/</t>
        </is>
      </c>
      <c r="H67" s="3" t="inlineStr">
        <is>
          <t xml:space="preserve">You are my friend.</t>
        </is>
      </c>
      <c r="I67" s="3" t="inlineStr">
        <is>
          <t xml:space="preserve">thank you, how are you</t>
        </is>
      </c>
      <c r="J67" t="inlineStr">
        <is>
          <t xml:space="preserve">data/roadmap</t>
        </is>
      </c>
      <c r="K67" s="2">
        <v>46309</v>
      </c>
      <c r="L67">
        <f>IF($K67="","",IF($K67=TODAY(),COUNTIF($K$2:$K67,TODAY()),""))</f>
      </c>
    </row>
    <row r="68">
      <c r="A68" t="inlineStr">
        <is>
          <t xml:space="preserve">a0_pron_064</t>
        </is>
      </c>
      <c r="B68" t="inlineStr">
        <is>
          <t xml:space="preserve">A0</t>
        </is>
      </c>
      <c r="C68" t="inlineStr">
        <is>
          <t xml:space="preserve">pronoun</t>
        </is>
      </c>
      <c r="D68" t="inlineStr">
        <is>
          <t xml:space="preserve">A0-005</t>
        </is>
      </c>
      <c r="E68" s="3" t="inlineStr">
        <is>
          <t xml:space="preserve">he</t>
        </is>
      </c>
      <c r="F68" s="3" t="inlineStr">
        <is>
          <t xml:space="preserve">anh ấy</t>
        </is>
      </c>
      <c r="G68" t="inlineStr">
        <is>
          <t xml:space="preserve">/hi/</t>
        </is>
      </c>
      <c r="H68" s="3" t="inlineStr">
        <is>
          <t xml:space="preserve">He is a teacher.</t>
        </is>
      </c>
      <c r="I68" s="3" t="inlineStr">
        <is>
          <t xml:space="preserve">he says</t>
        </is>
      </c>
      <c r="J68" t="inlineStr">
        <is>
          <t xml:space="preserve">data/roadmap</t>
        </is>
      </c>
      <c r="K68" s="2">
        <v>46309</v>
      </c>
      <c r="L68">
        <f>IF($K68="","",IF($K68=TODAY(),COUNTIF($K$2:$K68,TODAY()),""))</f>
      </c>
    </row>
    <row r="69">
      <c r="A69" t="inlineStr">
        <is>
          <t xml:space="preserve">a0_pron_065</t>
        </is>
      </c>
      <c r="B69" t="inlineStr">
        <is>
          <t xml:space="preserve">A0</t>
        </is>
      </c>
      <c r="C69" t="inlineStr">
        <is>
          <t xml:space="preserve">pronoun</t>
        </is>
      </c>
      <c r="D69" t="inlineStr">
        <is>
          <t xml:space="preserve">A0-005</t>
        </is>
      </c>
      <c r="E69" s="3" t="inlineStr">
        <is>
          <t xml:space="preserve">she</t>
        </is>
      </c>
      <c r="F69" s="3" t="inlineStr">
        <is>
          <t xml:space="preserve">cô ấy</t>
        </is>
      </c>
      <c r="G69" t="inlineStr">
        <is>
          <t xml:space="preserve">/ʃi/</t>
        </is>
      </c>
      <c r="H69" s="3" t="inlineStr">
        <is>
          <t xml:space="preserve">She is from Vietnam.</t>
        </is>
      </c>
      <c r="I69" s="3" t="inlineStr">
        <is>
          <t xml:space="preserve">she says</t>
        </is>
      </c>
      <c r="J69" t="inlineStr">
        <is>
          <t xml:space="preserve">data/roadmap</t>
        </is>
      </c>
      <c r="K69" s="2">
        <v>46309</v>
      </c>
      <c r="L69">
        <f>IF($K69="","",IF($K69=TODAY(),COUNTIF($K$2:$K69,TODAY()),""))</f>
      </c>
    </row>
    <row r="70">
      <c r="A70" t="inlineStr">
        <is>
          <t xml:space="preserve">a0_pron_066</t>
        </is>
      </c>
      <c r="B70" t="inlineStr">
        <is>
          <t xml:space="preserve">A0</t>
        </is>
      </c>
      <c r="C70" t="inlineStr">
        <is>
          <t xml:space="preserve">pronoun</t>
        </is>
      </c>
      <c r="D70" t="inlineStr">
        <is>
          <t xml:space="preserve">A0-005</t>
        </is>
      </c>
      <c r="E70" s="3" t="inlineStr">
        <is>
          <t xml:space="preserve">it</t>
        </is>
      </c>
      <c r="F70" s="3" t="inlineStr">
        <is>
          <t xml:space="preserve">nó</t>
        </is>
      </c>
      <c r="G70" t="inlineStr">
        <is>
          <t xml:space="preserve">/ɪt/</t>
        </is>
      </c>
      <c r="H70" s="3" t="inlineStr">
        <is>
          <t xml:space="preserve">It is a nice day.</t>
        </is>
      </c>
      <c r="I70" s="3" t="inlineStr">
        <is>
          <t xml:space="preserve">it is, I like it</t>
        </is>
      </c>
      <c r="J70" t="inlineStr">
        <is>
          <t xml:space="preserve">data/roadmap</t>
        </is>
      </c>
      <c r="K70" s="2">
        <v>46309</v>
      </c>
      <c r="L70">
        <f>IF($K70="","",IF($K70=TODAY(),COUNTIF($K$2:$K70,TODAY()),""))</f>
      </c>
    </row>
    <row r="71">
      <c r="A71" t="inlineStr">
        <is>
          <t xml:space="preserve">a0_pron_067</t>
        </is>
      </c>
      <c r="B71" t="inlineStr">
        <is>
          <t xml:space="preserve">A0</t>
        </is>
      </c>
      <c r="C71" t="inlineStr">
        <is>
          <t xml:space="preserve">pronoun</t>
        </is>
      </c>
      <c r="D71" t="inlineStr">
        <is>
          <t xml:space="preserve">A0-005</t>
        </is>
      </c>
      <c r="E71" s="3" t="inlineStr">
        <is>
          <t xml:space="preserve">we</t>
        </is>
      </c>
      <c r="F71" s="3" t="inlineStr">
        <is>
          <t xml:space="preserve">chúng tôi</t>
        </is>
      </c>
      <c r="G71" t="inlineStr">
        <is>
          <t xml:space="preserve">/wi/</t>
        </is>
      </c>
      <c r="H71" s="3" t="inlineStr">
        <is>
          <t xml:space="preserve">We study English today.</t>
        </is>
      </c>
      <c r="I71" s="3" t="inlineStr">
        <is>
          <t xml:space="preserve">we are</t>
        </is>
      </c>
      <c r="J71" t="inlineStr">
        <is>
          <t xml:space="preserve">data/roadmap</t>
        </is>
      </c>
      <c r="K71" s="2">
        <v>46309</v>
      </c>
      <c r="L71">
        <f>IF($K71="","",IF($K71=TODAY(),COUNTIF($K$2:$K71,TODAY()),""))</f>
      </c>
    </row>
    <row r="72">
      <c r="A72" t="inlineStr">
        <is>
          <t xml:space="preserve">a0_pron_068</t>
        </is>
      </c>
      <c r="B72" t="inlineStr">
        <is>
          <t xml:space="preserve">A0</t>
        </is>
      </c>
      <c r="C72" t="inlineStr">
        <is>
          <t xml:space="preserve">pronoun</t>
        </is>
      </c>
      <c r="D72" t="inlineStr">
        <is>
          <t xml:space="preserve">A0-005</t>
        </is>
      </c>
      <c r="E72" s="3" t="inlineStr">
        <is>
          <t xml:space="preserve">they</t>
        </is>
      </c>
      <c r="F72" s="3" t="inlineStr">
        <is>
          <t xml:space="preserve">họ</t>
        </is>
      </c>
      <c r="G72" t="inlineStr">
        <is>
          <t xml:space="preserve">/ðeɪ/</t>
        </is>
      </c>
      <c r="H72" s="3" t="inlineStr">
        <is>
          <t xml:space="preserve">They are my classmates.</t>
        </is>
      </c>
      <c r="I72" s="3" t="inlineStr">
        <is>
          <t xml:space="preserve">they are</t>
        </is>
      </c>
      <c r="J72" t="inlineStr">
        <is>
          <t xml:space="preserve">data/roadmap</t>
        </is>
      </c>
      <c r="K72" s="2">
        <v>46309</v>
      </c>
      <c r="L72">
        <f>IF($K72="","",IF($K72=TODAY(),COUNTIF($K$2:$K72,TODAY()),""))</f>
      </c>
    </row>
    <row r="73">
      <c r="A73" t="inlineStr">
        <is>
          <t xml:space="preserve">a0_pron_069</t>
        </is>
      </c>
      <c r="B73" t="inlineStr">
        <is>
          <t xml:space="preserve">A0</t>
        </is>
      </c>
      <c r="C73" t="inlineStr">
        <is>
          <t xml:space="preserve">verb</t>
        </is>
      </c>
      <c r="D73" t="inlineStr">
        <is>
          <t xml:space="preserve">A0-005</t>
        </is>
      </c>
      <c r="E73" s="3" t="inlineStr">
        <is>
          <t xml:space="preserve">am</t>
        </is>
      </c>
      <c r="F73" s="3" t="inlineStr">
        <is>
          <t xml:space="preserve">là (với I)</t>
        </is>
      </c>
      <c r="G73" t="inlineStr">
        <is>
          <t xml:space="preserve">/æm/</t>
        </is>
      </c>
      <c r="H73" s="3" t="inlineStr">
        <is>
          <t xml:space="preserve">I am twenty years old.</t>
        </is>
      </c>
      <c r="I73" s="3" t="inlineStr">
        <is>
          <t xml:space="preserve">I am not</t>
        </is>
      </c>
      <c r="J73" t="inlineStr">
        <is>
          <t xml:space="preserve">data/roadmap</t>
        </is>
      </c>
      <c r="K73" s="2">
        <v>46309</v>
      </c>
      <c r="L73">
        <f>IF($K73="","",IF($K73=TODAY(),COUNTIF($K$2:$K73,TODAY()),""))</f>
      </c>
    </row>
    <row r="74">
      <c r="A74" t="inlineStr">
        <is>
          <t xml:space="preserve">a0_pron_070</t>
        </is>
      </c>
      <c r="B74" t="inlineStr">
        <is>
          <t xml:space="preserve">A0</t>
        </is>
      </c>
      <c r="C74" t="inlineStr">
        <is>
          <t xml:space="preserve">verb</t>
        </is>
      </c>
      <c r="D74" t="inlineStr">
        <is>
          <t xml:space="preserve">A0-005</t>
        </is>
      </c>
      <c r="E74" s="3" t="inlineStr">
        <is>
          <t xml:space="preserve">is</t>
        </is>
      </c>
      <c r="F74" s="3" t="inlineStr">
        <is>
          <t xml:space="preserve">là</t>
        </is>
      </c>
      <c r="G74" t="inlineStr">
        <is>
          <t xml:space="preserve">/ɪz/</t>
        </is>
      </c>
      <c r="H74" s="3" t="inlineStr">
        <is>
          <t xml:space="preserve">My room is small.</t>
        </is>
      </c>
      <c r="I74" s="3" t="inlineStr">
        <is>
          <t xml:space="preserve">it is, what is this</t>
        </is>
      </c>
      <c r="J74" t="inlineStr">
        <is>
          <t xml:space="preserve">data/roadmap</t>
        </is>
      </c>
      <c r="K74" s="2">
        <v>46310</v>
      </c>
      <c r="L74">
        <f>IF($K74="","",IF($K74=TODAY(),COUNTIF($K$2:$K74,TODAY()),""))</f>
      </c>
    </row>
    <row r="75">
      <c r="A75" t="inlineStr">
        <is>
          <t xml:space="preserve">a0_pron_071</t>
        </is>
      </c>
      <c r="B75" t="inlineStr">
        <is>
          <t xml:space="preserve">A0</t>
        </is>
      </c>
      <c r="C75" t="inlineStr">
        <is>
          <t xml:space="preserve">verb</t>
        </is>
      </c>
      <c r="D75" t="inlineStr">
        <is>
          <t xml:space="preserve">A0-005</t>
        </is>
      </c>
      <c r="E75" s="3" t="inlineStr">
        <is>
          <t xml:space="preserve">are</t>
        </is>
      </c>
      <c r="F75" s="3" t="inlineStr">
        <is>
          <t xml:space="preserve">là (số nhiều)</t>
        </is>
      </c>
      <c r="G75" t="inlineStr">
        <is>
          <t xml:space="preserve">/ɑr/</t>
        </is>
      </c>
      <c r="H75" s="3" t="inlineStr">
        <is>
          <t xml:space="preserve">Two books are on the desk.</t>
        </is>
      </c>
      <c r="I75" s="3" t="inlineStr">
        <is>
          <t xml:space="preserve">you are, there are</t>
        </is>
      </c>
      <c r="J75" t="inlineStr">
        <is>
          <t xml:space="preserve">data/roadmap</t>
        </is>
      </c>
      <c r="K75" s="2">
        <v>46310</v>
      </c>
      <c r="L75">
        <f>IF($K75="","",IF($K75=TODAY(),COUNTIF($K$2:$K75,TODAY()),""))</f>
      </c>
    </row>
    <row r="76">
      <c r="A76" t="inlineStr">
        <is>
          <t xml:space="preserve">a0_pron_072</t>
        </is>
      </c>
      <c r="B76" t="inlineStr">
        <is>
          <t xml:space="preserve">A0</t>
        </is>
      </c>
      <c r="C76" t="inlineStr">
        <is>
          <t xml:space="preserve">basic</t>
        </is>
      </c>
      <c r="D76" t="inlineStr">
        <is>
          <t xml:space="preserve">A0-005</t>
        </is>
      </c>
      <c r="E76" s="3" t="inlineStr">
        <is>
          <t xml:space="preserve">yes</t>
        </is>
      </c>
      <c r="F76" s="3" t="inlineStr">
        <is>
          <t xml:space="preserve">đúng</t>
        </is>
      </c>
      <c r="G76" t="inlineStr">
        <is>
          <t xml:space="preserve">/jɛs/</t>
        </is>
      </c>
      <c r="H76" s="3" t="inlineStr">
        <is>
          <t xml:space="preserve">Yes, I am a student.</t>
        </is>
      </c>
      <c r="I76" s="3" t="inlineStr">
        <is>
          <t xml:space="preserve">yes please</t>
        </is>
      </c>
      <c r="J76" t="inlineStr">
        <is>
          <t xml:space="preserve">data/roadmap</t>
        </is>
      </c>
      <c r="K76" s="2">
        <v>46310</v>
      </c>
      <c r="L76">
        <f>IF($K76="","",IF($K76=TODAY(),COUNTIF($K$2:$K76,TODAY()),""))</f>
      </c>
    </row>
    <row r="77">
      <c r="A77" t="inlineStr">
        <is>
          <t xml:space="preserve">a0_pron_073</t>
        </is>
      </c>
      <c r="B77" t="inlineStr">
        <is>
          <t xml:space="preserve">A0</t>
        </is>
      </c>
      <c r="C77" t="inlineStr">
        <is>
          <t xml:space="preserve">basic</t>
        </is>
      </c>
      <c r="D77" t="inlineStr">
        <is>
          <t xml:space="preserve">A0-005</t>
        </is>
      </c>
      <c r="E77" s="3" t="inlineStr">
        <is>
          <t xml:space="preserve">no</t>
        </is>
      </c>
      <c r="F77" s="3" t="inlineStr">
        <is>
          <t xml:space="preserve">không</t>
        </is>
      </c>
      <c r="G77" t="inlineStr">
        <is>
          <t xml:space="preserve">/noʊ/</t>
        </is>
      </c>
      <c r="H77" s="3" t="inlineStr">
        <is>
          <t xml:space="preserve">No, I am not late.</t>
        </is>
      </c>
      <c r="I77" s="3" t="inlineStr">
        <is>
          <t xml:space="preserve">no problem</t>
        </is>
      </c>
      <c r="J77" t="inlineStr">
        <is>
          <t xml:space="preserve">data/roadmap</t>
        </is>
      </c>
      <c r="K77" s="2">
        <v>46310</v>
      </c>
      <c r="L77">
        <f>IF($K77="","",IF($K77=TODAY(),COUNTIF($K$2:$K77,TODAY()),""))</f>
      </c>
    </row>
    <row r="78">
      <c r="A78" t="inlineStr">
        <is>
          <t xml:space="preserve">a0_pron_074</t>
        </is>
      </c>
      <c r="B78" t="inlineStr">
        <is>
          <t xml:space="preserve">A0</t>
        </is>
      </c>
      <c r="C78" t="inlineStr">
        <is>
          <t xml:space="preserve">basic</t>
        </is>
      </c>
      <c r="D78" t="inlineStr">
        <is>
          <t xml:space="preserve">A0-005</t>
        </is>
      </c>
      <c r="E78" s="3" t="inlineStr">
        <is>
          <t xml:space="preserve">not</t>
        </is>
      </c>
      <c r="F78" s="3" t="inlineStr">
        <is>
          <t xml:space="preserve">không (phủ định)</t>
        </is>
      </c>
      <c r="G78" t="inlineStr">
        <is>
          <t xml:space="preserve">/nɑt/</t>
        </is>
      </c>
      <c r="H78" s="3" t="inlineStr">
        <is>
          <t xml:space="preserve">I am not from Hanoi.</t>
        </is>
      </c>
      <c r="I78" s="3" t="inlineStr">
        <is>
          <t xml:space="preserve">is not, do not</t>
        </is>
      </c>
      <c r="J78" t="inlineStr">
        <is>
          <t xml:space="preserve">data/roadmap</t>
        </is>
      </c>
      <c r="K78" s="2">
        <v>46310</v>
      </c>
      <c r="L78">
        <f>IF($K78="","",IF($K78=TODAY(),COUNTIF($K$2:$K78,TODAY()),""))</f>
      </c>
    </row>
    <row r="79">
      <c r="A79" t="inlineStr">
        <is>
          <t xml:space="preserve">a0_pron_075</t>
        </is>
      </c>
      <c r="B79" t="inlineStr">
        <is>
          <t xml:space="preserve">A0</t>
        </is>
      </c>
      <c r="C79" t="inlineStr">
        <is>
          <t xml:space="preserve">pronoun</t>
        </is>
      </c>
      <c r="D79" t="inlineStr">
        <is>
          <t xml:space="preserve">A0-005</t>
        </is>
      </c>
      <c r="E79" s="3" t="inlineStr">
        <is>
          <t xml:space="preserve">my</t>
        </is>
      </c>
      <c r="F79" s="3" t="inlineStr">
        <is>
          <t xml:space="preserve">của tôi</t>
        </is>
      </c>
      <c r="G79" t="inlineStr">
        <is>
          <t xml:space="preserve">/maɪ/</t>
        </is>
      </c>
      <c r="H79" s="3" t="inlineStr">
        <is>
          <t xml:space="preserve">This is my bag.</t>
        </is>
      </c>
      <c r="I79" s="3" t="inlineStr">
        <is>
          <t xml:space="preserve">my name, my family</t>
        </is>
      </c>
      <c r="J79" t="inlineStr">
        <is>
          <t xml:space="preserve">data/roadmap</t>
        </is>
      </c>
      <c r="K79" s="2">
        <v>46310</v>
      </c>
      <c r="L79">
        <f>IF($K79="","",IF($K79=TODAY(),COUNTIF($K$2:$K79,TODAY()),""))</f>
      </c>
    </row>
    <row r="80">
      <c r="A80" t="inlineStr">
        <is>
          <t xml:space="preserve">a0_pron_076</t>
        </is>
      </c>
      <c r="B80" t="inlineStr">
        <is>
          <t xml:space="preserve">A0</t>
        </is>
      </c>
      <c r="C80" t="inlineStr">
        <is>
          <t xml:space="preserve">pronoun</t>
        </is>
      </c>
      <c r="D80" t="inlineStr">
        <is>
          <t xml:space="preserve">A0-005</t>
        </is>
      </c>
      <c r="E80" s="3" t="inlineStr">
        <is>
          <t xml:space="preserve">your</t>
        </is>
      </c>
      <c r="F80" s="3" t="inlineStr">
        <is>
          <t xml:space="preserve">của bạn</t>
        </is>
      </c>
      <c r="G80" t="inlineStr">
        <is>
          <t xml:space="preserve">/jʊr/</t>
        </is>
      </c>
      <c r="H80" s="3" t="inlineStr">
        <is>
          <t xml:space="preserve">What is your number?</t>
        </is>
      </c>
      <c r="I80" s="3" t="inlineStr">
        <is>
          <t xml:space="preserve">your name</t>
        </is>
      </c>
      <c r="J80" t="inlineStr">
        <is>
          <t xml:space="preserve">data/roadmap</t>
        </is>
      </c>
      <c r="K80" s="2">
        <v>46310</v>
      </c>
      <c r="L80">
        <f>IF($K80="","",IF($K80=TODAY(),COUNTIF($K$2:$K80,TODAY()),""))</f>
      </c>
    </row>
    <row r="81">
      <c r="A81" t="inlineStr">
        <is>
          <t xml:space="preserve">a0_pron_077</t>
        </is>
      </c>
      <c r="B81" t="inlineStr">
        <is>
          <t xml:space="preserve">A0</t>
        </is>
      </c>
      <c r="C81" t="inlineStr">
        <is>
          <t xml:space="preserve">pronoun</t>
        </is>
      </c>
      <c r="D81" t="inlineStr">
        <is>
          <t xml:space="preserve">A0-005</t>
        </is>
      </c>
      <c r="E81" s="3" t="inlineStr">
        <is>
          <t xml:space="preserve">his</t>
        </is>
      </c>
      <c r="F81" s="3" t="inlineStr">
        <is>
          <t xml:space="preserve">của anh ấy</t>
        </is>
      </c>
      <c r="G81" t="inlineStr">
        <is>
          <t xml:space="preserve">/hɪz/</t>
        </is>
      </c>
      <c r="H81" s="3" t="inlineStr">
        <is>
          <t xml:space="preserve">His house is big.</t>
        </is>
      </c>
      <c r="I81" s="3" t="inlineStr">
        <is>
          <t xml:space="preserve">his name</t>
        </is>
      </c>
      <c r="J81" t="inlineStr">
        <is>
          <t xml:space="preserve">data/roadmap</t>
        </is>
      </c>
      <c r="K81" s="2">
        <v>46310</v>
      </c>
      <c r="L81">
        <f>IF($K81="","",IF($K81=TODAY(),COUNTIF($K$2:$K81,TODAY()),""))</f>
      </c>
    </row>
    <row r="82">
      <c r="A82" t="inlineStr">
        <is>
          <t xml:space="preserve">a0_pron_078</t>
        </is>
      </c>
      <c r="B82" t="inlineStr">
        <is>
          <t xml:space="preserve">A0</t>
        </is>
      </c>
      <c r="C82" t="inlineStr">
        <is>
          <t xml:space="preserve">pronoun</t>
        </is>
      </c>
      <c r="D82" t="inlineStr">
        <is>
          <t xml:space="preserve">A0-005</t>
        </is>
      </c>
      <c r="E82" s="3" t="inlineStr">
        <is>
          <t xml:space="preserve">her</t>
        </is>
      </c>
      <c r="F82" s="3" t="inlineStr">
        <is>
          <t xml:space="preserve">của cô ấy</t>
        </is>
      </c>
      <c r="G82" t="inlineStr">
        <is>
          <t xml:space="preserve">/hɜr/</t>
        </is>
      </c>
      <c r="H82" s="3" t="inlineStr">
        <is>
          <t xml:space="preserve">Her phone is new.</t>
        </is>
      </c>
      <c r="I82" s="3" t="inlineStr">
        <is>
          <t xml:space="preserve">her name</t>
        </is>
      </c>
      <c r="J82" t="inlineStr">
        <is>
          <t xml:space="preserve">data/roadmap</t>
        </is>
      </c>
      <c r="K82" s="2">
        <v>46311</v>
      </c>
      <c r="L82">
        <f>IF($K82="","",IF($K82=TODAY(),COUNTIF($K$2:$K82,TODAY()),""))</f>
      </c>
    </row>
    <row r="83">
      <c r="A83" t="inlineStr">
        <is>
          <t xml:space="preserve">a0_pron_079</t>
        </is>
      </c>
      <c r="B83" t="inlineStr">
        <is>
          <t xml:space="preserve">A0</t>
        </is>
      </c>
      <c r="C83" t="inlineStr">
        <is>
          <t xml:space="preserve">basic</t>
        </is>
      </c>
      <c r="D83" t="inlineStr">
        <is>
          <t xml:space="preserve">A0-005</t>
        </is>
      </c>
      <c r="E83" s="3" t="inlineStr">
        <is>
          <t xml:space="preserve">and</t>
        </is>
      </c>
      <c r="F83" s="3" t="inlineStr">
        <is>
          <t xml:space="preserve">và</t>
        </is>
      </c>
      <c r="G83" t="inlineStr">
        <is>
          <t xml:space="preserve">/ænd/</t>
        </is>
      </c>
      <c r="H83" s="3" t="inlineStr">
        <is>
          <t xml:space="preserve">I like rice and fish.</t>
        </is>
      </c>
      <c r="I83" s="3" t="inlineStr">
        <is>
          <t xml:space="preserve">you and I</t>
        </is>
      </c>
      <c r="J83" t="inlineStr">
        <is>
          <t xml:space="preserve">data/roadmap</t>
        </is>
      </c>
      <c r="K83" s="2">
        <v>46311</v>
      </c>
      <c r="L83">
        <f>IF($K83="","",IF($K83=TODAY(),COUNTIF($K$2:$K83,TODAY()),""))</f>
      </c>
    </row>
    <row r="84">
      <c r="A84" t="inlineStr">
        <is>
          <t xml:space="preserve">a0_pron_080</t>
        </is>
      </c>
      <c r="B84" t="inlineStr">
        <is>
          <t xml:space="preserve">A0</t>
        </is>
      </c>
      <c r="C84" t="inlineStr">
        <is>
          <t xml:space="preserve">basic</t>
        </is>
      </c>
      <c r="D84" t="inlineStr">
        <is>
          <t xml:space="preserve">A0-005</t>
        </is>
      </c>
      <c r="E84" s="3" t="inlineStr">
        <is>
          <t xml:space="preserve">but</t>
        </is>
      </c>
      <c r="F84" s="3" t="inlineStr">
        <is>
          <t xml:space="preserve">nhưng</t>
        </is>
      </c>
      <c r="G84" t="inlineStr">
        <is>
          <t xml:space="preserve">/bʌt/</t>
        </is>
      </c>
      <c r="H84" s="3" t="inlineStr">
        <is>
          <t xml:space="preserve">I am tired but happy.</t>
        </is>
      </c>
      <c r="I84" s="3" t="inlineStr">
        <is>
          <t xml:space="preserve">but not</t>
        </is>
      </c>
      <c r="J84" t="inlineStr">
        <is>
          <t xml:space="preserve">data/roadmap</t>
        </is>
      </c>
      <c r="K84" s="2">
        <v>46311</v>
      </c>
      <c r="L84">
        <f>IF($K84="","",IF($K84=TODAY(),COUNTIF($K$2:$K84,TODAY()),""))</f>
      </c>
    </row>
    <row r="85">
      <c r="A85" t="inlineStr">
        <is>
          <t xml:space="preserve">a0_obj_081</t>
        </is>
      </c>
      <c r="B85" t="inlineStr">
        <is>
          <t xml:space="preserve">A0</t>
        </is>
      </c>
      <c r="C85" t="inlineStr">
        <is>
          <t xml:space="preserve">object</t>
        </is>
      </c>
      <c r="D85" t="inlineStr">
        <is>
          <t xml:space="preserve">A0-006</t>
        </is>
      </c>
      <c r="E85" s="3" t="inlineStr">
        <is>
          <t xml:space="preserve">this</t>
        </is>
      </c>
      <c r="F85" s="3" t="inlineStr">
        <is>
          <t xml:space="preserve">này</t>
        </is>
      </c>
      <c r="G85" t="inlineStr">
        <is>
          <t xml:space="preserve">/ðɪs/</t>
        </is>
      </c>
      <c r="H85" s="3" t="inlineStr">
        <is>
          <t xml:space="preserve">This is my pen.</t>
        </is>
      </c>
      <c r="I85" s="3" t="inlineStr">
        <is>
          <t xml:space="preserve">this one, like this</t>
        </is>
      </c>
      <c r="J85" t="inlineStr">
        <is>
          <t xml:space="preserve">data/roadmap</t>
        </is>
      </c>
      <c r="K85" s="2">
        <v>46311</v>
      </c>
      <c r="L85">
        <f>IF($K85="","",IF($K85=TODAY(),COUNTIF($K$2:$K85,TODAY()),""))</f>
      </c>
    </row>
    <row r="86">
      <c r="A86" t="inlineStr">
        <is>
          <t xml:space="preserve">a0_obj_082</t>
        </is>
      </c>
      <c r="B86" t="inlineStr">
        <is>
          <t xml:space="preserve">A0</t>
        </is>
      </c>
      <c r="C86" t="inlineStr">
        <is>
          <t xml:space="preserve">object</t>
        </is>
      </c>
      <c r="D86" t="inlineStr">
        <is>
          <t xml:space="preserve">A0-006</t>
        </is>
      </c>
      <c r="E86" s="3" t="inlineStr">
        <is>
          <t xml:space="preserve">that</t>
        </is>
      </c>
      <c r="F86" s="3" t="inlineStr">
        <is>
          <t xml:space="preserve">kia</t>
        </is>
      </c>
      <c r="G86" t="inlineStr">
        <is>
          <t xml:space="preserve">/ðæt/</t>
        </is>
      </c>
      <c r="H86" s="3" t="inlineStr">
        <is>
          <t xml:space="preserve">That is her bag.</t>
        </is>
      </c>
      <c r="I86" s="3" t="inlineStr">
        <is>
          <t xml:space="preserve">that one</t>
        </is>
      </c>
      <c r="J86" t="inlineStr">
        <is>
          <t xml:space="preserve">data/roadmap</t>
        </is>
      </c>
      <c r="K86" s="2">
        <v>46311</v>
      </c>
      <c r="L86">
        <f>IF($K86="","",IF($K86=TODAY(),COUNTIF($K$2:$K86,TODAY()),""))</f>
      </c>
    </row>
    <row r="87">
      <c r="A87" t="inlineStr">
        <is>
          <t xml:space="preserve">a0_obj_083</t>
        </is>
      </c>
      <c r="B87" t="inlineStr">
        <is>
          <t xml:space="preserve">A0</t>
        </is>
      </c>
      <c r="C87" t="inlineStr">
        <is>
          <t xml:space="preserve">object</t>
        </is>
      </c>
      <c r="D87" t="inlineStr">
        <is>
          <t xml:space="preserve">A0-006</t>
        </is>
      </c>
      <c r="E87" s="3" t="inlineStr">
        <is>
          <t xml:space="preserve">these</t>
        </is>
      </c>
      <c r="F87" s="3" t="inlineStr">
        <is>
          <t xml:space="preserve">những cái này</t>
        </is>
      </c>
      <c r="G87" t="inlineStr">
        <is>
          <t xml:space="preserve">/ðiːz/</t>
        </is>
      </c>
      <c r="H87" s="3" t="inlineStr">
        <is>
          <t xml:space="preserve">These are my shoes.</t>
        </is>
      </c>
      <c r="I87" s="3" t="inlineStr">
        <is>
          <t xml:space="preserve">these days</t>
        </is>
      </c>
      <c r="J87" t="inlineStr">
        <is>
          <t xml:space="preserve">data/roadmap</t>
        </is>
      </c>
      <c r="K87" s="2">
        <v>46311</v>
      </c>
      <c r="L87">
        <f>IF($K87="","",IF($K87=TODAY(),COUNTIF($K$2:$K87,TODAY()),""))</f>
      </c>
    </row>
    <row r="88">
      <c r="A88" t="inlineStr">
        <is>
          <t xml:space="preserve">a0_obj_084</t>
        </is>
      </c>
      <c r="B88" t="inlineStr">
        <is>
          <t xml:space="preserve">A0</t>
        </is>
      </c>
      <c r="C88" t="inlineStr">
        <is>
          <t xml:space="preserve">object</t>
        </is>
      </c>
      <c r="D88" t="inlineStr">
        <is>
          <t xml:space="preserve">A0-006</t>
        </is>
      </c>
      <c r="E88" s="3" t="inlineStr">
        <is>
          <t xml:space="preserve">those</t>
        </is>
      </c>
      <c r="F88" s="3" t="inlineStr">
        <is>
          <t xml:space="preserve">những cái kia</t>
        </is>
      </c>
      <c r="G88" t="inlineStr">
        <is>
          <t xml:space="preserve">/ðoʊz/</t>
        </is>
      </c>
      <c r="H88" s="3" t="inlineStr">
        <is>
          <t xml:space="preserve">Those are his books.</t>
        </is>
      </c>
      <c r="I88" s="3" t="inlineStr">
        <is>
          <t xml:space="preserve">those ones</t>
        </is>
      </c>
      <c r="J88" t="inlineStr">
        <is>
          <t xml:space="preserve">data/roadmap</t>
        </is>
      </c>
      <c r="K88" s="2">
        <v>46311</v>
      </c>
      <c r="L88">
        <f>IF($K88="","",IF($K88=TODAY(),COUNTIF($K$2:$K88,TODAY()),""))</f>
      </c>
    </row>
    <row r="89">
      <c r="A89" t="inlineStr">
        <is>
          <t xml:space="preserve">a0_obj_085</t>
        </is>
      </c>
      <c r="B89" t="inlineStr">
        <is>
          <t xml:space="preserve">A0</t>
        </is>
      </c>
      <c r="C89" t="inlineStr">
        <is>
          <t xml:space="preserve">object</t>
        </is>
      </c>
      <c r="D89" t="inlineStr">
        <is>
          <t xml:space="preserve">A0-006</t>
        </is>
      </c>
      <c r="E89" s="3" t="inlineStr">
        <is>
          <t xml:space="preserve">book</t>
        </is>
      </c>
      <c r="F89" s="3" t="inlineStr">
        <is>
          <t xml:space="preserve">quyển sách</t>
        </is>
      </c>
      <c r="G89" t="inlineStr">
        <is>
          <t xml:space="preserve">/bʊk/</t>
        </is>
      </c>
      <c r="H89" s="3" t="inlineStr">
        <is>
          <t xml:space="preserve">I read one book a week.</t>
        </is>
      </c>
      <c r="I89" s="3" t="inlineStr">
        <is>
          <t xml:space="preserve">a book cover, read a book</t>
        </is>
      </c>
      <c r="J89" t="inlineStr">
        <is>
          <t xml:space="preserve">data/roadmap</t>
        </is>
      </c>
      <c r="K89" s="2">
        <v>46311</v>
      </c>
      <c r="L89">
        <f>IF($K89="","",IF($K89=TODAY(),COUNTIF($K$2:$K89,TODAY()),""))</f>
      </c>
    </row>
    <row r="90">
      <c r="A90" t="inlineStr">
        <is>
          <t xml:space="preserve">a0_obj_086</t>
        </is>
      </c>
      <c r="B90" t="inlineStr">
        <is>
          <t xml:space="preserve">A0</t>
        </is>
      </c>
      <c r="C90" t="inlineStr">
        <is>
          <t xml:space="preserve">object</t>
        </is>
      </c>
      <c r="D90" t="inlineStr">
        <is>
          <t xml:space="preserve">A0-006</t>
        </is>
      </c>
      <c r="E90" s="3" t="inlineStr">
        <is>
          <t xml:space="preserve">pen</t>
        </is>
      </c>
      <c r="F90" s="3" t="inlineStr">
        <is>
          <t xml:space="preserve">cái bút</t>
        </is>
      </c>
      <c r="G90" t="inlineStr">
        <is>
          <t xml:space="preserve">/pɛn/</t>
        </is>
      </c>
      <c r="H90" s="3" t="inlineStr">
        <is>
          <t xml:space="preserve">This pen is blue.</t>
        </is>
      </c>
      <c r="I90" s="3" t="inlineStr">
        <is>
          <t xml:space="preserve">a ballpoint pen</t>
        </is>
      </c>
      <c r="J90" t="inlineStr">
        <is>
          <t xml:space="preserve">data/roadmap</t>
        </is>
      </c>
      <c r="K90" s="2">
        <v>46312</v>
      </c>
      <c r="L90">
        <f>IF($K90="","",IF($K90=TODAY(),COUNTIF($K$2:$K90,TODAY()),""))</f>
      </c>
    </row>
    <row r="91">
      <c r="A91" t="inlineStr">
        <is>
          <t xml:space="preserve">a0_obj_087</t>
        </is>
      </c>
      <c r="B91" t="inlineStr">
        <is>
          <t xml:space="preserve">A0</t>
        </is>
      </c>
      <c r="C91" t="inlineStr">
        <is>
          <t xml:space="preserve">place</t>
        </is>
      </c>
      <c r="D91" t="inlineStr">
        <is>
          <t xml:space="preserve">A0-006</t>
        </is>
      </c>
      <c r="E91" s="3" t="inlineStr">
        <is>
          <t xml:space="preserve">desk</t>
        </is>
      </c>
      <c r="F91" s="3" t="inlineStr">
        <is>
          <t xml:space="preserve">cái bàn học</t>
        </is>
      </c>
      <c r="G91" t="inlineStr">
        <is>
          <t xml:space="preserve">/dɛsk/</t>
        </is>
      </c>
      <c r="H91" s="3" t="inlineStr">
        <is>
          <t xml:space="preserve">My book is on the desk.</t>
        </is>
      </c>
      <c r="I91" s="3" t="inlineStr">
        <is>
          <t xml:space="preserve">at my desk</t>
        </is>
      </c>
      <c r="J91" t="inlineStr">
        <is>
          <t xml:space="preserve">data/roadmap</t>
        </is>
      </c>
      <c r="K91" s="2">
        <v>46312</v>
      </c>
      <c r="L91">
        <f>IF($K91="","",IF($K91=TODAY(),COUNTIF($K$2:$K91,TODAY()),""))</f>
      </c>
    </row>
    <row r="92">
      <c r="A92" t="inlineStr">
        <is>
          <t xml:space="preserve">a0_obj_088</t>
        </is>
      </c>
      <c r="B92" t="inlineStr">
        <is>
          <t xml:space="preserve">A0</t>
        </is>
      </c>
      <c r="C92" t="inlineStr">
        <is>
          <t xml:space="preserve">place</t>
        </is>
      </c>
      <c r="D92" t="inlineStr">
        <is>
          <t xml:space="preserve">A0-006</t>
        </is>
      </c>
      <c r="E92" s="3" t="inlineStr">
        <is>
          <t xml:space="preserve">chair</t>
        </is>
      </c>
      <c r="F92" s="3" t="inlineStr">
        <is>
          <t xml:space="preserve">cái ghế</t>
        </is>
      </c>
      <c r="G92" t="inlineStr">
        <is>
          <t xml:space="preserve">/tʃɛr/</t>
        </is>
      </c>
      <c r="H92" s="3" t="inlineStr">
        <is>
          <t xml:space="preserve">The chair is near the table.</t>
        </is>
      </c>
      <c r="I92" s="3" t="inlineStr">
        <is>
          <t xml:space="preserve">sit on a chair</t>
        </is>
      </c>
      <c r="J92" t="inlineStr">
        <is>
          <t xml:space="preserve">data/roadmap</t>
        </is>
      </c>
      <c r="K92" s="2">
        <v>46312</v>
      </c>
      <c r="L92">
        <f>IF($K92="","",IF($K92=TODAY(),COUNTIF($K$2:$K92,TODAY()),""))</f>
      </c>
    </row>
    <row r="93">
      <c r="A93" t="inlineStr">
        <is>
          <t xml:space="preserve">a0_obj_089</t>
        </is>
      </c>
      <c r="B93" t="inlineStr">
        <is>
          <t xml:space="preserve">A0</t>
        </is>
      </c>
      <c r="C93" t="inlineStr">
        <is>
          <t xml:space="preserve">place</t>
        </is>
      </c>
      <c r="D93" t="inlineStr">
        <is>
          <t xml:space="preserve">A0-006</t>
        </is>
      </c>
      <c r="E93" s="3" t="inlineStr">
        <is>
          <t xml:space="preserve">door</t>
        </is>
      </c>
      <c r="F93" s="3" t="inlineStr">
        <is>
          <t xml:space="preserve">cửa ra vào</t>
        </is>
      </c>
      <c r="G93" t="inlineStr">
        <is>
          <t xml:space="preserve">/dɔr/</t>
        </is>
      </c>
      <c r="H93" s="3" t="inlineStr">
        <is>
          <t xml:space="preserve">Please open the door.</t>
        </is>
      </c>
      <c r="I93" s="3" t="inlineStr">
        <is>
          <t xml:space="preserve">next to the door</t>
        </is>
      </c>
      <c r="J93" t="inlineStr">
        <is>
          <t xml:space="preserve">data/roadmap</t>
        </is>
      </c>
      <c r="K93" s="2">
        <v>46312</v>
      </c>
      <c r="L93">
        <f>IF($K93="","",IF($K93=TODAY(),COUNTIF($K$2:$K93,TODAY()),""))</f>
      </c>
    </row>
    <row r="94">
      <c r="A94" t="inlineStr">
        <is>
          <t xml:space="preserve">a0_obj_090</t>
        </is>
      </c>
      <c r="B94" t="inlineStr">
        <is>
          <t xml:space="preserve">A0</t>
        </is>
      </c>
      <c r="C94" t="inlineStr">
        <is>
          <t xml:space="preserve">object</t>
        </is>
      </c>
      <c r="D94" t="inlineStr">
        <is>
          <t xml:space="preserve">A0-006</t>
        </is>
      </c>
      <c r="E94" s="3" t="inlineStr">
        <is>
          <t xml:space="preserve">bag</t>
        </is>
      </c>
      <c r="F94" s="3" t="inlineStr">
        <is>
          <t xml:space="preserve">cái túi</t>
        </is>
      </c>
      <c r="G94" t="inlineStr">
        <is>
          <t xml:space="preserve">/bæɡ/</t>
        </is>
      </c>
      <c r="H94" s="3" t="inlineStr">
        <is>
          <t xml:space="preserve">My bag has two books.</t>
        </is>
      </c>
      <c r="I94" s="3" t="inlineStr">
        <is>
          <t xml:space="preserve">a school bag</t>
        </is>
      </c>
      <c r="J94" t="inlineStr">
        <is>
          <t xml:space="preserve">data/roadmap</t>
        </is>
      </c>
      <c r="K94" s="2">
        <v>46312</v>
      </c>
      <c r="L94">
        <f>IF($K94="","",IF($K94=TODAY(),COUNTIF($K$2:$K94,TODAY()),""))</f>
      </c>
    </row>
    <row r="95">
      <c r="A95" t="inlineStr">
        <is>
          <t xml:space="preserve">a0_obj_091</t>
        </is>
      </c>
      <c r="B95" t="inlineStr">
        <is>
          <t xml:space="preserve">A0</t>
        </is>
      </c>
      <c r="C95" t="inlineStr">
        <is>
          <t xml:space="preserve">object</t>
        </is>
      </c>
      <c r="D95" t="inlineStr">
        <is>
          <t xml:space="preserve">A0-006</t>
        </is>
      </c>
      <c r="E95" s="3" t="inlineStr">
        <is>
          <t xml:space="preserve">phone</t>
        </is>
      </c>
      <c r="F95" s="3" t="inlineStr">
        <is>
          <t xml:space="preserve">điện thoại</t>
        </is>
      </c>
      <c r="G95" t="inlineStr">
        <is>
          <t xml:space="preserve">/foʊn/</t>
        </is>
      </c>
      <c r="H95" s="3" t="inlineStr">
        <is>
          <t xml:space="preserve">My phone is old.</t>
        </is>
      </c>
      <c r="I95" s="3" t="inlineStr">
        <is>
          <t xml:space="preserve">answer the phone</t>
        </is>
      </c>
      <c r="J95" t="inlineStr">
        <is>
          <t xml:space="preserve">data/roadmap</t>
        </is>
      </c>
      <c r="K95" s="2">
        <v>46312</v>
      </c>
      <c r="L95">
        <f>IF($K95="","",IF($K95=TODAY(),COUNTIF($K$2:$K95,TODAY()),""))</f>
      </c>
    </row>
    <row r="96">
      <c r="A96" t="inlineStr">
        <is>
          <t xml:space="preserve">a0_obj_092</t>
        </is>
      </c>
      <c r="B96" t="inlineStr">
        <is>
          <t xml:space="preserve">A0</t>
        </is>
      </c>
      <c r="C96" t="inlineStr">
        <is>
          <t xml:space="preserve">object</t>
        </is>
      </c>
      <c r="D96" t="inlineStr">
        <is>
          <t xml:space="preserve">A0-006</t>
        </is>
      </c>
      <c r="E96" s="3" t="inlineStr">
        <is>
          <t xml:space="preserve">computer</t>
        </is>
      </c>
      <c r="F96" s="3" t="inlineStr">
        <is>
          <t xml:space="preserve">máy tính</t>
        </is>
      </c>
      <c r="G96" t="inlineStr">
        <is>
          <t xml:space="preserve">/kəmˈpjutɚ/</t>
        </is>
      </c>
      <c r="H96" s="3" t="inlineStr">
        <is>
          <t xml:space="preserve">I use a computer at work.</t>
        </is>
      </c>
      <c r="I96" s="3" t="inlineStr">
        <is>
          <t xml:space="preserve">a computer screen</t>
        </is>
      </c>
      <c r="J96" t="inlineStr">
        <is>
          <t xml:space="preserve">data/roadmap</t>
        </is>
      </c>
      <c r="K96" s="2">
        <v>46312</v>
      </c>
      <c r="L96">
        <f>IF($K96="","",IF($K96=TODAY(),COUNTIF($K$2:$K96,TODAY()),""))</f>
      </c>
    </row>
    <row r="97">
      <c r="A97" t="inlineStr">
        <is>
          <t xml:space="preserve">a0_obj_093</t>
        </is>
      </c>
      <c r="B97" t="inlineStr">
        <is>
          <t xml:space="preserve">A0</t>
        </is>
      </c>
      <c r="C97" t="inlineStr">
        <is>
          <t xml:space="preserve">object</t>
        </is>
      </c>
      <c r="D97" t="inlineStr">
        <is>
          <t xml:space="preserve">A0-006</t>
        </is>
      </c>
      <c r="E97" s="3" t="inlineStr">
        <is>
          <t xml:space="preserve">paper</t>
        </is>
      </c>
      <c r="F97" s="3" t="inlineStr">
        <is>
          <t xml:space="preserve">tờ giấy</t>
        </is>
      </c>
      <c r="G97" t="inlineStr">
        <is>
          <t xml:space="preserve">/ˈpeɪpɚ/</t>
        </is>
      </c>
      <c r="H97" s="3" t="inlineStr">
        <is>
          <t xml:space="preserve">Write your name on this paper.</t>
        </is>
      </c>
      <c r="I97" s="3" t="inlineStr">
        <is>
          <t xml:space="preserve">a piece of paper</t>
        </is>
      </c>
      <c r="J97" t="inlineStr">
        <is>
          <t xml:space="preserve">data/roadmap</t>
        </is>
      </c>
      <c r="K97" s="2">
        <v>46312</v>
      </c>
      <c r="L97">
        <f>IF($K97="","",IF($K97=TODAY(),COUNTIF($K$2:$K97,TODAY()),""))</f>
      </c>
    </row>
    <row r="98">
      <c r="A98" t="inlineStr">
        <is>
          <t xml:space="preserve">a0_obj_094</t>
        </is>
      </c>
      <c r="B98" t="inlineStr">
        <is>
          <t xml:space="preserve">A0</t>
        </is>
      </c>
      <c r="C98" t="inlineStr">
        <is>
          <t xml:space="preserve">food</t>
        </is>
      </c>
      <c r="D98" t="inlineStr">
        <is>
          <t xml:space="preserve">A0-006</t>
        </is>
      </c>
      <c r="E98" s="3" t="inlineStr">
        <is>
          <t xml:space="preserve">cup</t>
        </is>
      </c>
      <c r="F98" s="3" t="inlineStr">
        <is>
          <t xml:space="preserve">cái cốc</t>
        </is>
      </c>
      <c r="G98" t="inlineStr">
        <is>
          <t xml:space="preserve">/kʌp/</t>
        </is>
      </c>
      <c r="H98" s="3" t="inlineStr">
        <is>
          <t xml:space="preserve">There is water in my cup.</t>
        </is>
      </c>
      <c r="I98" s="3" t="inlineStr">
        <is>
          <t xml:space="preserve">a cup of tea</t>
        </is>
      </c>
      <c r="J98" t="inlineStr">
        <is>
          <t xml:space="preserve">data/roadmap</t>
        </is>
      </c>
      <c r="K98" s="2">
        <v>46314</v>
      </c>
      <c r="L98">
        <f>IF($K98="","",IF($K98=TODAY(),COUNTIF($K$2:$K98,TODAY()),""))</f>
      </c>
    </row>
    <row r="99">
      <c r="A99" t="inlineStr">
        <is>
          <t xml:space="preserve">a0_obj_095</t>
        </is>
      </c>
      <c r="B99" t="inlineStr">
        <is>
          <t xml:space="preserve">A0</t>
        </is>
      </c>
      <c r="C99" t="inlineStr">
        <is>
          <t xml:space="preserve">object</t>
        </is>
      </c>
      <c r="D99" t="inlineStr">
        <is>
          <t xml:space="preserve">A0-006</t>
        </is>
      </c>
      <c r="E99" s="3" t="inlineStr">
        <is>
          <t xml:space="preserve">shoe</t>
        </is>
      </c>
      <c r="F99" s="3" t="inlineStr">
        <is>
          <t xml:space="preserve">giày</t>
        </is>
      </c>
      <c r="G99" t="inlineStr">
        <is>
          <t xml:space="preserve">/ʃu/</t>
        </is>
      </c>
      <c r="H99" s="3" t="inlineStr">
        <is>
          <t xml:space="preserve">I wear black shoes.</t>
        </is>
      </c>
      <c r="I99" s="3" t="inlineStr">
        <is>
          <t xml:space="preserve">a pair of shoes</t>
        </is>
      </c>
      <c r="J99" t="inlineStr">
        <is>
          <t xml:space="preserve">data/roadmap</t>
        </is>
      </c>
      <c r="K99" s="2">
        <v>46314</v>
      </c>
      <c r="L99">
        <f>IF($K99="","",IF($K99=TODAY(),COUNTIF($K$2:$K99,TODAY()),""))</f>
      </c>
    </row>
    <row r="100">
      <c r="A100" t="inlineStr">
        <is>
          <t xml:space="preserve">a0_obj_096</t>
        </is>
      </c>
      <c r="B100" t="inlineStr">
        <is>
          <t xml:space="preserve">A0</t>
        </is>
      </c>
      <c r="C100" t="inlineStr">
        <is>
          <t xml:space="preserve">object</t>
        </is>
      </c>
      <c r="D100" t="inlineStr">
        <is>
          <t xml:space="preserve">A0-006</t>
        </is>
      </c>
      <c r="E100" s="3" t="inlineStr">
        <is>
          <t xml:space="preserve">shirt</t>
        </is>
      </c>
      <c r="F100" s="3" t="inlineStr">
        <is>
          <t xml:space="preserve">áo sơ mi</t>
        </is>
      </c>
      <c r="G100" t="inlineStr">
        <is>
          <t xml:space="preserve">/ʃɜrt/</t>
        </is>
      </c>
      <c r="H100" s="3" t="inlineStr">
        <is>
          <t xml:space="preserve">His shirt is white.</t>
        </is>
      </c>
      <c r="I100" s="3" t="inlineStr">
        <is>
          <t xml:space="preserve">a white shirt</t>
        </is>
      </c>
      <c r="J100" t="inlineStr">
        <is>
          <t xml:space="preserve">data/roadmap</t>
        </is>
      </c>
      <c r="K100" s="2">
        <v>46314</v>
      </c>
      <c r="L100">
        <f>IF($K100="","",IF($K100=TODAY(),COUNTIF($K$2:$K100,TODAY()),""))</f>
      </c>
    </row>
    <row r="101">
      <c r="A101" t="inlineStr">
        <is>
          <t xml:space="preserve">a0_place_097</t>
        </is>
      </c>
      <c r="B101" t="inlineStr">
        <is>
          <t xml:space="preserve">A0</t>
        </is>
      </c>
      <c r="C101" t="inlineStr">
        <is>
          <t xml:space="preserve">place</t>
        </is>
      </c>
      <c r="D101" t="inlineStr">
        <is>
          <t xml:space="preserve">A0-007</t>
        </is>
      </c>
      <c r="E101" s="3" t="inlineStr">
        <is>
          <t xml:space="preserve">room</t>
        </is>
      </c>
      <c r="F101" s="3" t="inlineStr">
        <is>
          <t xml:space="preserve">căn phòng</t>
        </is>
      </c>
      <c r="G101" t="inlineStr">
        <is>
          <t xml:space="preserve">/rum/</t>
        </is>
      </c>
      <c r="H101" s="3" t="inlineStr">
        <is>
          <t xml:space="preserve">There are two chairs in my room.</t>
        </is>
      </c>
      <c r="I101" s="3" t="inlineStr">
        <is>
          <t xml:space="preserve">a room for rent, my room</t>
        </is>
      </c>
      <c r="J101" t="inlineStr">
        <is>
          <t xml:space="preserve">data/roadmap</t>
        </is>
      </c>
      <c r="K101" s="2">
        <v>46314</v>
      </c>
      <c r="L101">
        <f>IF($K101="","",IF($K101=TODAY(),COUNTIF($K$2:$K101,TODAY()),""))</f>
      </c>
    </row>
    <row r="102">
      <c r="A102" t="inlineStr">
        <is>
          <t xml:space="preserve">a0_place_098</t>
        </is>
      </c>
      <c r="B102" t="inlineStr">
        <is>
          <t xml:space="preserve">A0</t>
        </is>
      </c>
      <c r="C102" t="inlineStr">
        <is>
          <t xml:space="preserve">place</t>
        </is>
      </c>
      <c r="D102" t="inlineStr">
        <is>
          <t xml:space="preserve">A0-007</t>
        </is>
      </c>
      <c r="E102" s="3" t="inlineStr">
        <is>
          <t xml:space="preserve">sofa</t>
        </is>
      </c>
      <c r="F102" s="3" t="inlineStr">
        <is>
          <t xml:space="preserve">ghế dài</t>
        </is>
      </c>
      <c r="G102" t="inlineStr">
        <is>
          <t xml:space="preserve">/ˈsoʊfə/</t>
        </is>
      </c>
      <c r="H102" s="3" t="inlineStr">
        <is>
          <t xml:space="preserve">The cat is on the sofa.</t>
        </is>
      </c>
      <c r="I102" s="3" t="inlineStr">
        <is>
          <t xml:space="preserve">sit on the sofa</t>
        </is>
      </c>
      <c r="J102" t="inlineStr">
        <is>
          <t xml:space="preserve">data/roadmap</t>
        </is>
      </c>
      <c r="K102" s="2">
        <v>46314</v>
      </c>
      <c r="L102">
        <f>IF($K102="","",IF($K102=TODAY(),COUNTIF($K$2:$K102,TODAY()),""))</f>
      </c>
    </row>
    <row r="103">
      <c r="A103" t="inlineStr">
        <is>
          <t xml:space="preserve">a0_place_099</t>
        </is>
      </c>
      <c r="B103" t="inlineStr">
        <is>
          <t xml:space="preserve">A0</t>
        </is>
      </c>
      <c r="C103" t="inlineStr">
        <is>
          <t xml:space="preserve">place</t>
        </is>
      </c>
      <c r="D103" t="inlineStr">
        <is>
          <t xml:space="preserve">A0-007</t>
        </is>
      </c>
      <c r="E103" s="3" t="inlineStr">
        <is>
          <t xml:space="preserve">table</t>
        </is>
      </c>
      <c r="F103" s="3" t="inlineStr">
        <is>
          <t xml:space="preserve">cái bàn</t>
        </is>
      </c>
      <c r="G103" t="inlineStr">
        <is>
          <t xml:space="preserve">/ˈteɪbəl/</t>
        </is>
      </c>
      <c r="H103" s="3" t="inlineStr">
        <is>
          <t xml:space="preserve">There are three cups on the table.</t>
        </is>
      </c>
      <c r="I103" s="3" t="inlineStr">
        <is>
          <t xml:space="preserve">at the table, dining table</t>
        </is>
      </c>
      <c r="J103" t="inlineStr">
        <is>
          <t xml:space="preserve">data/roadmap</t>
        </is>
      </c>
      <c r="K103" s="2">
        <v>46314</v>
      </c>
      <c r="L103">
        <f>IF($K103="","",IF($K103=TODAY(),COUNTIF($K$2:$K103,TODAY()),""))</f>
      </c>
    </row>
    <row r="104">
      <c r="A104" t="inlineStr">
        <is>
          <t xml:space="preserve">a0_place_100</t>
        </is>
      </c>
      <c r="B104" t="inlineStr">
        <is>
          <t xml:space="preserve">A0</t>
        </is>
      </c>
      <c r="C104" t="inlineStr">
        <is>
          <t xml:space="preserve">place</t>
        </is>
      </c>
      <c r="D104" t="inlineStr">
        <is>
          <t xml:space="preserve">A0-007</t>
        </is>
      </c>
      <c r="E104" s="3" t="inlineStr">
        <is>
          <t xml:space="preserve">lamp</t>
        </is>
      </c>
      <c r="F104" s="3" t="inlineStr">
        <is>
          <t xml:space="preserve">cái đèn</t>
        </is>
      </c>
      <c r="G104" t="inlineStr">
        <is>
          <t xml:space="preserve">/læmp/</t>
        </is>
      </c>
      <c r="H104" s="3" t="inlineStr">
        <is>
          <t xml:space="preserve">There is a lamp on my desk.</t>
        </is>
      </c>
      <c r="I104" s="3" t="inlineStr">
        <is>
          <t xml:space="preserve">turn on the lamp</t>
        </is>
      </c>
      <c r="J104" t="inlineStr">
        <is>
          <t xml:space="preserve">data/roadmap</t>
        </is>
      </c>
      <c r="K104" s="2">
        <v>46314</v>
      </c>
      <c r="L104">
        <f>IF($K104="","",IF($K104=TODAY(),COUNTIF($K$2:$K104,TODAY()),""))</f>
      </c>
    </row>
    <row r="105">
      <c r="A105" t="inlineStr">
        <is>
          <t xml:space="preserve">a0_place_101</t>
        </is>
      </c>
      <c r="B105" t="inlineStr">
        <is>
          <t xml:space="preserve">A0</t>
        </is>
      </c>
      <c r="C105" t="inlineStr">
        <is>
          <t xml:space="preserve">place</t>
        </is>
      </c>
      <c r="D105" t="inlineStr">
        <is>
          <t xml:space="preserve">A0-007</t>
        </is>
      </c>
      <c r="E105" s="3" t="inlineStr">
        <is>
          <t xml:space="preserve">wall</t>
        </is>
      </c>
      <c r="F105" s="3" t="inlineStr">
        <is>
          <t xml:space="preserve">bức tường</t>
        </is>
      </c>
      <c r="G105" t="inlineStr">
        <is>
          <t xml:space="preserve">/wɔl/</t>
        </is>
      </c>
      <c r="H105" s="3" t="inlineStr">
        <is>
          <t xml:space="preserve">There is a picture on the wall.</t>
        </is>
      </c>
      <c r="I105" s="3" t="inlineStr">
        <is>
          <t xml:space="preserve">on the wall</t>
        </is>
      </c>
      <c r="J105" t="inlineStr">
        <is>
          <t xml:space="preserve">data/roadmap</t>
        </is>
      </c>
      <c r="K105" s="2">
        <v>46314</v>
      </c>
      <c r="L105">
        <f>IF($K105="","",IF($K105=TODAY(),COUNTIF($K$2:$K105,TODAY()),""))</f>
      </c>
    </row>
    <row r="106">
      <c r="A106" t="inlineStr">
        <is>
          <t xml:space="preserve">a0_place_102</t>
        </is>
      </c>
      <c r="B106" t="inlineStr">
        <is>
          <t xml:space="preserve">A0</t>
        </is>
      </c>
      <c r="C106" t="inlineStr">
        <is>
          <t xml:space="preserve">place</t>
        </is>
      </c>
      <c r="D106" t="inlineStr">
        <is>
          <t xml:space="preserve">A0-007</t>
        </is>
      </c>
      <c r="E106" s="3" t="inlineStr">
        <is>
          <t xml:space="preserve">floor</t>
        </is>
      </c>
      <c r="F106" s="3" t="inlineStr">
        <is>
          <t xml:space="preserve">sàn nhà</t>
        </is>
      </c>
      <c r="G106" t="inlineStr">
        <is>
          <t xml:space="preserve">/flɔr/</t>
        </is>
      </c>
      <c r="H106" s="3" t="inlineStr">
        <is>
          <t xml:space="preserve">The bag is on the floor.</t>
        </is>
      </c>
      <c r="I106" s="3" t="inlineStr">
        <is>
          <t xml:space="preserve">on the floor, ground floor</t>
        </is>
      </c>
      <c r="J106" t="inlineStr">
        <is>
          <t xml:space="preserve">data/roadmap</t>
        </is>
      </c>
      <c r="K106" s="2">
        <v>46315</v>
      </c>
      <c r="L106">
        <f>IF($K106="","",IF($K106=TODAY(),COUNTIF($K$2:$K106,TODAY()),""))</f>
      </c>
    </row>
    <row r="107">
      <c r="A107" t="inlineStr">
        <is>
          <t xml:space="preserve">a0_place_103</t>
        </is>
      </c>
      <c r="B107" t="inlineStr">
        <is>
          <t xml:space="preserve">A0</t>
        </is>
      </c>
      <c r="C107" t="inlineStr">
        <is>
          <t xml:space="preserve">place</t>
        </is>
      </c>
      <c r="D107" t="inlineStr">
        <is>
          <t xml:space="preserve">A0-007</t>
        </is>
      </c>
      <c r="E107" s="3" t="inlineStr">
        <is>
          <t xml:space="preserve">house</t>
        </is>
      </c>
      <c r="F107" s="3" t="inlineStr">
        <is>
          <t xml:space="preserve">ngôi nhà</t>
        </is>
      </c>
      <c r="G107" t="inlineStr">
        <is>
          <t xml:space="preserve">/haʊs/</t>
        </is>
      </c>
      <c r="H107" s="3" t="inlineStr">
        <is>
          <t xml:space="preserve">There are four rooms in my house.</t>
        </is>
      </c>
      <c r="I107" s="3" t="inlineStr">
        <is>
          <t xml:space="preserve">a big house, at home</t>
        </is>
      </c>
      <c r="J107" t="inlineStr">
        <is>
          <t xml:space="preserve">data/roadmap</t>
        </is>
      </c>
      <c r="K107" s="2">
        <v>46315</v>
      </c>
      <c r="L107">
        <f>IF($K107="","",IF($K107=TODAY(),COUNTIF($K$2:$K107,TODAY()),""))</f>
      </c>
    </row>
    <row r="108">
      <c r="A108" t="inlineStr">
        <is>
          <t xml:space="preserve">a0_place_104</t>
        </is>
      </c>
      <c r="B108" t="inlineStr">
        <is>
          <t xml:space="preserve">A0</t>
        </is>
      </c>
      <c r="C108" t="inlineStr">
        <is>
          <t xml:space="preserve">object</t>
        </is>
      </c>
      <c r="D108" t="inlineStr">
        <is>
          <t xml:space="preserve">A0-007</t>
        </is>
      </c>
      <c r="E108" s="3" t="inlineStr">
        <is>
          <t xml:space="preserve">picture</t>
        </is>
      </c>
      <c r="F108" s="3" t="inlineStr">
        <is>
          <t xml:space="preserve">bức ảnh</t>
        </is>
      </c>
      <c r="G108" t="inlineStr">
        <is>
          <t xml:space="preserve">/ˈpɪktʃɚ/</t>
        </is>
      </c>
      <c r="H108" s="3" t="inlineStr">
        <is>
          <t xml:space="preserve">This picture shows my family.</t>
        </is>
      </c>
      <c r="I108" s="3" t="inlineStr">
        <is>
          <t xml:space="preserve">a family picture</t>
        </is>
      </c>
      <c r="J108" t="inlineStr">
        <is>
          <t xml:space="preserve">data/roadmap</t>
        </is>
      </c>
      <c r="K108" s="2">
        <v>46315</v>
      </c>
      <c r="L108">
        <f>IF($K108="","",IF($K108=TODAY(),COUNTIF($K$2:$K108,TODAY()),""))</f>
      </c>
    </row>
    <row r="109">
      <c r="A109" t="inlineStr">
        <is>
          <t xml:space="preserve">a0_place_105</t>
        </is>
      </c>
      <c r="B109" t="inlineStr">
        <is>
          <t xml:space="preserve">A0</t>
        </is>
      </c>
      <c r="C109" t="inlineStr">
        <is>
          <t xml:space="preserve">preposition</t>
        </is>
      </c>
      <c r="D109" t="inlineStr">
        <is>
          <t xml:space="preserve">A0-007</t>
        </is>
      </c>
      <c r="E109" s="3" t="inlineStr">
        <is>
          <t xml:space="preserve">on</t>
        </is>
      </c>
      <c r="F109" s="3" t="inlineStr">
        <is>
          <t xml:space="preserve">trên</t>
        </is>
      </c>
      <c r="G109" t="inlineStr">
        <is>
          <t xml:space="preserve">/ɑn/</t>
        </is>
      </c>
      <c r="H109" s="3" t="inlineStr">
        <is>
          <t xml:space="preserve">The cup is on the table.</t>
        </is>
      </c>
      <c r="I109" s="3" t="inlineStr">
        <is>
          <t xml:space="preserve">on the table, on time</t>
        </is>
      </c>
      <c r="J109" t="inlineStr">
        <is>
          <t xml:space="preserve">data/roadmap</t>
        </is>
      </c>
      <c r="K109" s="2">
        <v>46315</v>
      </c>
      <c r="L109">
        <f>IF($K109="","",IF($K109=TODAY(),COUNTIF($K$2:$K109,TODAY()),""))</f>
      </c>
    </row>
    <row r="110">
      <c r="A110" t="inlineStr">
        <is>
          <t xml:space="preserve">a0_place_106</t>
        </is>
      </c>
      <c r="B110" t="inlineStr">
        <is>
          <t xml:space="preserve">A0</t>
        </is>
      </c>
      <c r="C110" t="inlineStr">
        <is>
          <t xml:space="preserve">preposition</t>
        </is>
      </c>
      <c r="D110" t="inlineStr">
        <is>
          <t xml:space="preserve">A0-007</t>
        </is>
      </c>
      <c r="E110" s="3" t="inlineStr">
        <is>
          <t xml:space="preserve">in</t>
        </is>
      </c>
      <c r="F110" s="3" t="inlineStr">
        <is>
          <t xml:space="preserve">trong</t>
        </is>
      </c>
      <c r="G110" t="inlineStr">
        <is>
          <t xml:space="preserve">/ɪn/</t>
        </is>
      </c>
      <c r="H110" s="3" t="inlineStr">
        <is>
          <t xml:space="preserve">My mother is in the room.</t>
        </is>
      </c>
      <c r="I110" s="3" t="inlineStr">
        <is>
          <t xml:space="preserve">in the morning</t>
        </is>
      </c>
      <c r="J110" t="inlineStr">
        <is>
          <t xml:space="preserve">data/roadmap</t>
        </is>
      </c>
      <c r="K110" s="2">
        <v>46315</v>
      </c>
      <c r="L110">
        <f>IF($K110="","",IF($K110=TODAY(),COUNTIF($K$2:$K110,TODAY()),""))</f>
      </c>
    </row>
    <row r="111">
      <c r="A111" t="inlineStr">
        <is>
          <t xml:space="preserve">a0_place_107</t>
        </is>
      </c>
      <c r="B111" t="inlineStr">
        <is>
          <t xml:space="preserve">A0</t>
        </is>
      </c>
      <c r="C111" t="inlineStr">
        <is>
          <t xml:space="preserve">preposition</t>
        </is>
      </c>
      <c r="D111" t="inlineStr">
        <is>
          <t xml:space="preserve">A0-007</t>
        </is>
      </c>
      <c r="E111" s="3" t="inlineStr">
        <is>
          <t xml:space="preserve">under</t>
        </is>
      </c>
      <c r="F111" s="3" t="inlineStr">
        <is>
          <t xml:space="preserve">dưới</t>
        </is>
      </c>
      <c r="G111" t="inlineStr">
        <is>
          <t xml:space="preserve">/ˈʌndɚ/</t>
        </is>
      </c>
      <c r="H111" s="3" t="inlineStr">
        <is>
          <t xml:space="preserve">The cat is under the chair.</t>
        </is>
      </c>
      <c r="I111" s="3" t="inlineStr">
        <is>
          <t xml:space="preserve">under the table</t>
        </is>
      </c>
      <c r="J111" t="inlineStr">
        <is>
          <t xml:space="preserve">data/roadmap</t>
        </is>
      </c>
      <c r="K111" s="2">
        <v>46315</v>
      </c>
      <c r="L111">
        <f>IF($K111="","",IF($K111=TODAY(),COUNTIF($K$2:$K111,TODAY()),""))</f>
      </c>
    </row>
    <row r="112">
      <c r="A112" t="inlineStr">
        <is>
          <t xml:space="preserve">a0_place_108</t>
        </is>
      </c>
      <c r="B112" t="inlineStr">
        <is>
          <t xml:space="preserve">A0</t>
        </is>
      </c>
      <c r="C112" t="inlineStr">
        <is>
          <t xml:space="preserve">preposition</t>
        </is>
      </c>
      <c r="D112" t="inlineStr">
        <is>
          <t xml:space="preserve">A0-007</t>
        </is>
      </c>
      <c r="E112" s="3" t="inlineStr">
        <is>
          <t xml:space="preserve">near</t>
        </is>
      </c>
      <c r="F112" s="3" t="inlineStr">
        <is>
          <t xml:space="preserve">gần</t>
        </is>
      </c>
      <c r="G112" t="inlineStr">
        <is>
          <t xml:space="preserve">/nɪr/</t>
        </is>
      </c>
      <c r="H112" s="3" t="inlineStr">
        <is>
          <t xml:space="preserve">There is a market near my house.</t>
        </is>
      </c>
      <c r="I112" s="3" t="inlineStr">
        <is>
          <t xml:space="preserve">near the door</t>
        </is>
      </c>
      <c r="J112" t="inlineStr">
        <is>
          <t xml:space="preserve">data/roadmap</t>
        </is>
      </c>
      <c r="K112" s="2">
        <v>46315</v>
      </c>
      <c r="L112">
        <f>IF($K112="","",IF($K112=TODAY(),COUNTIF($K$2:$K112,TODAY()),""))</f>
      </c>
    </row>
    <row r="113">
      <c r="A113" t="inlineStr">
        <is>
          <t xml:space="preserve">a0_place_109</t>
        </is>
      </c>
      <c r="B113" t="inlineStr">
        <is>
          <t xml:space="preserve">A0</t>
        </is>
      </c>
      <c r="C113" t="inlineStr">
        <is>
          <t xml:space="preserve">basic</t>
        </is>
      </c>
      <c r="D113" t="inlineStr">
        <is>
          <t xml:space="preserve">A0-007</t>
        </is>
      </c>
      <c r="E113" s="3" t="inlineStr">
        <is>
          <t xml:space="preserve">there</t>
        </is>
      </c>
      <c r="F113" s="3" t="inlineStr">
        <is>
          <t xml:space="preserve">ở đó</t>
        </is>
      </c>
      <c r="G113" t="inlineStr">
        <is>
          <t xml:space="preserve">/ðɛr/</t>
        </is>
      </c>
      <c r="H113" s="3" t="inlineStr">
        <is>
          <t xml:space="preserve">There is a book on the desk.</t>
        </is>
      </c>
      <c r="I113" s="3" t="inlineStr">
        <is>
          <t xml:space="preserve">there is, there are</t>
        </is>
      </c>
      <c r="J113" t="inlineStr">
        <is>
          <t xml:space="preserve">data/roadmap</t>
        </is>
      </c>
      <c r="K113" s="2">
        <v>46315</v>
      </c>
      <c r="L113">
        <f>IF($K113="","",IF($K113=TODAY(),COUNTIF($K$2:$K113,TODAY()),""))</f>
      </c>
    </row>
    <row r="114">
      <c r="A114" t="inlineStr">
        <is>
          <t xml:space="preserve">a0_fam_110</t>
        </is>
      </c>
      <c r="B114" t="inlineStr">
        <is>
          <t xml:space="preserve">A0</t>
        </is>
      </c>
      <c r="C114" t="inlineStr">
        <is>
          <t xml:space="preserve">family</t>
        </is>
      </c>
      <c r="D114" t="inlineStr">
        <is>
          <t xml:space="preserve">A0-008</t>
        </is>
      </c>
      <c r="E114" s="3" t="inlineStr">
        <is>
          <t xml:space="preserve">mother</t>
        </is>
      </c>
      <c r="F114" s="3" t="inlineStr">
        <is>
          <t xml:space="preserve">mẹ</t>
        </is>
      </c>
      <c r="G114" t="inlineStr">
        <is>
          <t xml:space="preserve">/ˈmʌðɚ/</t>
        </is>
      </c>
      <c r="H114" s="3" t="inlineStr">
        <is>
          <t xml:space="preserve">My mother cooks rice.</t>
        </is>
      </c>
      <c r="I114" s="3" t="inlineStr">
        <is>
          <t xml:space="preserve">my mother and I</t>
        </is>
      </c>
      <c r="J114" t="inlineStr">
        <is>
          <t xml:space="preserve">data/roadmap</t>
        </is>
      </c>
      <c r="K114" s="2">
        <v>46316</v>
      </c>
      <c r="L114">
        <f>IF($K114="","",IF($K114=TODAY(),COUNTIF($K$2:$K114,TODAY()),""))</f>
      </c>
    </row>
    <row r="115">
      <c r="A115" t="inlineStr">
        <is>
          <t xml:space="preserve">a0_fam_111</t>
        </is>
      </c>
      <c r="B115" t="inlineStr">
        <is>
          <t xml:space="preserve">A0</t>
        </is>
      </c>
      <c r="C115" t="inlineStr">
        <is>
          <t xml:space="preserve">family</t>
        </is>
      </c>
      <c r="D115" t="inlineStr">
        <is>
          <t xml:space="preserve">A0-008</t>
        </is>
      </c>
      <c r="E115" s="3" t="inlineStr">
        <is>
          <t xml:space="preserve">father</t>
        </is>
      </c>
      <c r="F115" s="3" t="inlineStr">
        <is>
          <t xml:space="preserve">bố</t>
        </is>
      </c>
      <c r="G115" t="inlineStr">
        <is>
          <t xml:space="preserve">/ˈfɑðɚ/</t>
        </is>
      </c>
      <c r="H115" s="3" t="inlineStr">
        <is>
          <t xml:space="preserve">My father works in an office.</t>
        </is>
      </c>
      <c r="I115" s="3" t="inlineStr">
        <is>
          <t xml:space="preserve">my father's car</t>
        </is>
      </c>
      <c r="J115" t="inlineStr">
        <is>
          <t xml:space="preserve">data/roadmap</t>
        </is>
      </c>
      <c r="K115" s="2">
        <v>46316</v>
      </c>
      <c r="L115">
        <f>IF($K115="","",IF($K115=TODAY(),COUNTIF($K$2:$K115,TODAY()),""))</f>
      </c>
    </row>
    <row r="116">
      <c r="A116" t="inlineStr">
        <is>
          <t xml:space="preserve">a0_fam_112</t>
        </is>
      </c>
      <c r="B116" t="inlineStr">
        <is>
          <t xml:space="preserve">A0</t>
        </is>
      </c>
      <c r="C116" t="inlineStr">
        <is>
          <t xml:space="preserve">family</t>
        </is>
      </c>
      <c r="D116" t="inlineStr">
        <is>
          <t xml:space="preserve">A0-008</t>
        </is>
      </c>
      <c r="E116" s="3" t="inlineStr">
        <is>
          <t xml:space="preserve">brother</t>
        </is>
      </c>
      <c r="F116" s="3" t="inlineStr">
        <is>
          <t xml:space="preserve">anh trai, em trai</t>
        </is>
      </c>
      <c r="G116" t="inlineStr">
        <is>
          <t xml:space="preserve">/ˈbrʌðɚ/</t>
        </is>
      </c>
      <c r="H116" s="3" t="inlineStr">
        <is>
          <t xml:space="preserve">My brother is ten years old.</t>
        </is>
      </c>
      <c r="I116" s="3" t="inlineStr">
        <is>
          <t xml:space="preserve">a younger brother</t>
        </is>
      </c>
      <c r="J116" t="inlineStr">
        <is>
          <t xml:space="preserve">data/roadmap</t>
        </is>
      </c>
      <c r="K116" s="2">
        <v>46316</v>
      </c>
      <c r="L116">
        <f>IF($K116="","",IF($K116=TODAY(),COUNTIF($K$2:$K116,TODAY()),""))</f>
      </c>
    </row>
    <row r="117">
      <c r="A117" t="inlineStr">
        <is>
          <t xml:space="preserve">a0_fam_113</t>
        </is>
      </c>
      <c r="B117" t="inlineStr">
        <is>
          <t xml:space="preserve">A0</t>
        </is>
      </c>
      <c r="C117" t="inlineStr">
        <is>
          <t xml:space="preserve">family</t>
        </is>
      </c>
      <c r="D117" t="inlineStr">
        <is>
          <t xml:space="preserve">A0-008</t>
        </is>
      </c>
      <c r="E117" s="3" t="inlineStr">
        <is>
          <t xml:space="preserve">sister</t>
        </is>
      </c>
      <c r="F117" s="3" t="inlineStr">
        <is>
          <t xml:space="preserve">chị gái, em gái</t>
        </is>
      </c>
      <c r="G117" t="inlineStr">
        <is>
          <t xml:space="preserve">/ˈsɪstɚ/</t>
        </is>
      </c>
      <c r="H117" s="3" t="inlineStr">
        <is>
          <t xml:space="preserve">Her sister is a student.</t>
        </is>
      </c>
      <c r="I117" s="3" t="inlineStr">
        <is>
          <t xml:space="preserve">a big sister</t>
        </is>
      </c>
      <c r="J117" t="inlineStr">
        <is>
          <t xml:space="preserve">data/roadmap</t>
        </is>
      </c>
      <c r="K117" s="2">
        <v>46316</v>
      </c>
      <c r="L117">
        <f>IF($K117="","",IF($K117=TODAY(),COUNTIF($K$2:$K117,TODAY()),""))</f>
      </c>
    </row>
    <row r="118">
      <c r="A118" t="inlineStr">
        <is>
          <t xml:space="preserve">a0_fam_114</t>
        </is>
      </c>
      <c r="B118" t="inlineStr">
        <is>
          <t xml:space="preserve">A0</t>
        </is>
      </c>
      <c r="C118" t="inlineStr">
        <is>
          <t xml:space="preserve">family</t>
        </is>
      </c>
      <c r="D118" t="inlineStr">
        <is>
          <t xml:space="preserve">A0-008</t>
        </is>
      </c>
      <c r="E118" s="3" t="inlineStr">
        <is>
          <t xml:space="preserve">baby</t>
        </is>
      </c>
      <c r="F118" s="3" t="inlineStr">
        <is>
          <t xml:space="preserve">em bé</t>
        </is>
      </c>
      <c r="G118" t="inlineStr">
        <is>
          <t xml:space="preserve">/ˈbeɪbi/</t>
        </is>
      </c>
      <c r="H118" s="3" t="inlineStr">
        <is>
          <t xml:space="preserve">The baby sleeps in the room.</t>
        </is>
      </c>
      <c r="I118" s="3" t="inlineStr">
        <is>
          <t xml:space="preserve">a baby boy</t>
        </is>
      </c>
      <c r="J118" t="inlineStr">
        <is>
          <t xml:space="preserve">data/roadmap</t>
        </is>
      </c>
      <c r="K118" s="2">
        <v>46316</v>
      </c>
      <c r="L118">
        <f>IF($K118="","",IF($K118=TODAY(),COUNTIF($K$2:$K118,TODAY()),""))</f>
      </c>
    </row>
    <row r="119">
      <c r="A119" t="inlineStr">
        <is>
          <t xml:space="preserve">a0_fam_115</t>
        </is>
      </c>
      <c r="B119" t="inlineStr">
        <is>
          <t xml:space="preserve">A0</t>
        </is>
      </c>
      <c r="C119" t="inlineStr">
        <is>
          <t xml:space="preserve">family</t>
        </is>
      </c>
      <c r="D119" t="inlineStr">
        <is>
          <t xml:space="preserve">A0-008</t>
        </is>
      </c>
      <c r="E119" s="3" t="inlineStr">
        <is>
          <t xml:space="preserve">parent</t>
        </is>
      </c>
      <c r="F119" s="3" t="inlineStr">
        <is>
          <t xml:space="preserve">cha mẹ</t>
        </is>
      </c>
      <c r="G119" t="inlineStr">
        <is>
          <t xml:space="preserve">/ˈpɛrənt/</t>
        </is>
      </c>
      <c r="H119" s="3" t="inlineStr">
        <is>
          <t xml:space="preserve">My parents live in the countryside.</t>
        </is>
      </c>
      <c r="I119" s="3" t="inlineStr">
        <is>
          <t xml:space="preserve">my parents</t>
        </is>
      </c>
      <c r="J119" t="inlineStr">
        <is>
          <t xml:space="preserve">data/roadmap</t>
        </is>
      </c>
      <c r="K119" s="2">
        <v>46316</v>
      </c>
      <c r="L119">
        <f>IF($K119="","",IF($K119=TODAY(),COUNTIF($K$2:$K119,TODAY()),""))</f>
      </c>
    </row>
    <row r="120">
      <c r="A120" t="inlineStr">
        <is>
          <t xml:space="preserve">a0_fam_116</t>
        </is>
      </c>
      <c r="B120" t="inlineStr">
        <is>
          <t xml:space="preserve">A0</t>
        </is>
      </c>
      <c r="C120" t="inlineStr">
        <is>
          <t xml:space="preserve">family</t>
        </is>
      </c>
      <c r="D120" t="inlineStr">
        <is>
          <t xml:space="preserve">A0-008</t>
        </is>
      </c>
      <c r="E120" s="3" t="inlineStr">
        <is>
          <t xml:space="preserve">son</t>
        </is>
      </c>
      <c r="F120" s="3" t="inlineStr">
        <is>
          <t xml:space="preserve">con trai</t>
        </is>
      </c>
      <c r="G120" t="inlineStr">
        <is>
          <t xml:space="preserve">/sʌn/</t>
        </is>
      </c>
      <c r="H120" s="3" t="inlineStr">
        <is>
          <t xml:space="preserve">Their son is tall.</t>
        </is>
      </c>
      <c r="I120" s="3" t="inlineStr">
        <is>
          <t xml:space="preserve">a young son</t>
        </is>
      </c>
      <c r="J120" t="inlineStr">
        <is>
          <t xml:space="preserve">data/roadmap</t>
        </is>
      </c>
      <c r="K120" s="2">
        <v>46316</v>
      </c>
      <c r="L120">
        <f>IF($K120="","",IF($K120=TODAY(),COUNTIF($K$2:$K120,TODAY()),""))</f>
      </c>
    </row>
    <row r="121">
      <c r="A121" t="inlineStr">
        <is>
          <t xml:space="preserve">a0_fam_117</t>
        </is>
      </c>
      <c r="B121" t="inlineStr">
        <is>
          <t xml:space="preserve">A0</t>
        </is>
      </c>
      <c r="C121" t="inlineStr">
        <is>
          <t xml:space="preserve">family</t>
        </is>
      </c>
      <c r="D121" t="inlineStr">
        <is>
          <t xml:space="preserve">A0-008</t>
        </is>
      </c>
      <c r="E121" s="3" t="inlineStr">
        <is>
          <t xml:space="preserve">daughter</t>
        </is>
      </c>
      <c r="F121" s="3" t="inlineStr">
        <is>
          <t xml:space="preserve">con gái</t>
        </is>
      </c>
      <c r="G121" t="inlineStr">
        <is>
          <t xml:space="preserve">/ˈdɔtɚ/</t>
        </is>
      </c>
      <c r="H121" s="3" t="inlineStr">
        <is>
          <t xml:space="preserve">Her daughter learns English.</t>
        </is>
      </c>
      <c r="I121" s="3" t="inlineStr">
        <is>
          <t xml:space="preserve">a little daughter</t>
        </is>
      </c>
      <c r="J121" t="inlineStr">
        <is>
          <t xml:space="preserve">data/roadmap</t>
        </is>
      </c>
      <c r="K121" s="2">
        <v>46316</v>
      </c>
      <c r="L121">
        <f>IF($K121="","",IF($K121=TODAY(),COUNTIF($K$2:$K121,TODAY()),""))</f>
      </c>
    </row>
    <row r="122">
      <c r="A122" t="inlineStr">
        <is>
          <t xml:space="preserve">a0_fam_118</t>
        </is>
      </c>
      <c r="B122" t="inlineStr">
        <is>
          <t xml:space="preserve">A0</t>
        </is>
      </c>
      <c r="C122" t="inlineStr">
        <is>
          <t xml:space="preserve">family</t>
        </is>
      </c>
      <c r="D122" t="inlineStr">
        <is>
          <t xml:space="preserve">A0-008</t>
        </is>
      </c>
      <c r="E122" s="3" t="inlineStr">
        <is>
          <t xml:space="preserve">uncle</t>
        </is>
      </c>
      <c r="F122" s="3" t="inlineStr">
        <is>
          <t xml:space="preserve">cậu, chú, bác</t>
        </is>
      </c>
      <c r="G122" t="inlineStr">
        <is>
          <t xml:space="preserve">/ˈʌŋkəl/</t>
        </is>
      </c>
      <c r="H122" s="3" t="inlineStr">
        <is>
          <t xml:space="preserve">My uncle has a big house.</t>
        </is>
      </c>
      <c r="I122" s="3" t="inlineStr">
        <is>
          <t xml:space="preserve">my mother's brother</t>
        </is>
      </c>
      <c r="J122" t="inlineStr">
        <is>
          <t xml:space="preserve">data/roadmap</t>
        </is>
      </c>
      <c r="K122" s="2">
        <v>46317</v>
      </c>
      <c r="L122">
        <f>IF($K122="","",IF($K122=TODAY(),COUNTIF($K$2:$K122,TODAY()),""))</f>
      </c>
    </row>
    <row r="123">
      <c r="A123" t="inlineStr">
        <is>
          <t xml:space="preserve">a0_fam_119</t>
        </is>
      </c>
      <c r="B123" t="inlineStr">
        <is>
          <t xml:space="preserve">A0</t>
        </is>
      </c>
      <c r="C123" t="inlineStr">
        <is>
          <t xml:space="preserve">family</t>
        </is>
      </c>
      <c r="D123" t="inlineStr">
        <is>
          <t xml:space="preserve">A0-008</t>
        </is>
      </c>
      <c r="E123" s="3" t="inlineStr">
        <is>
          <t xml:space="preserve">aunt</t>
        </is>
      </c>
      <c r="F123" s="3" t="inlineStr">
        <is>
          <t xml:space="preserve">cô, dì, bác gái</t>
        </is>
      </c>
      <c r="G123" t="inlineStr">
        <is>
          <t xml:space="preserve">/ænt/</t>
        </is>
      </c>
      <c r="H123" s="3" t="inlineStr">
        <is>
          <t xml:space="preserve">My aunt cooks very well.</t>
        </is>
      </c>
      <c r="I123" s="3" t="inlineStr">
        <is>
          <t xml:space="preserve">my father's sister</t>
        </is>
      </c>
      <c r="J123" t="inlineStr">
        <is>
          <t xml:space="preserve">data/roadmap</t>
        </is>
      </c>
      <c r="K123" s="2">
        <v>46317</v>
      </c>
      <c r="L123">
        <f>IF($K123="","",IF($K123=TODAY(),COUNTIF($K$2:$K123,TODAY()),""))</f>
      </c>
    </row>
    <row r="124">
      <c r="A124" t="inlineStr">
        <is>
          <t xml:space="preserve">a0_fam_120</t>
        </is>
      </c>
      <c r="B124" t="inlineStr">
        <is>
          <t xml:space="preserve">A0</t>
        </is>
      </c>
      <c r="C124" t="inlineStr">
        <is>
          <t xml:space="preserve">people</t>
        </is>
      </c>
      <c r="D124" t="inlineStr">
        <is>
          <t xml:space="preserve">A0-008</t>
        </is>
      </c>
      <c r="E124" s="3" t="inlineStr">
        <is>
          <t xml:space="preserve">boy</t>
        </is>
      </c>
      <c r="F124" s="3" t="inlineStr">
        <is>
          <t xml:space="preserve">cậu bé</t>
        </is>
      </c>
      <c r="G124" t="inlineStr">
        <is>
          <t xml:space="preserve">/bɔɪ/</t>
        </is>
      </c>
      <c r="H124" s="3" t="inlineStr">
        <is>
          <t xml:space="preserve">The boy has a new bag.</t>
        </is>
      </c>
      <c r="I124" s="3" t="inlineStr">
        <is>
          <t xml:space="preserve">a little boy</t>
        </is>
      </c>
      <c r="J124" t="inlineStr">
        <is>
          <t xml:space="preserve">data/roadmap</t>
        </is>
      </c>
      <c r="K124" s="2">
        <v>46317</v>
      </c>
      <c r="L124">
        <f>IF($K124="","",IF($K124=TODAY(),COUNTIF($K$2:$K124,TODAY()),""))</f>
      </c>
    </row>
    <row r="125">
      <c r="A125" t="inlineStr">
        <is>
          <t xml:space="preserve">a0_fam_121</t>
        </is>
      </c>
      <c r="B125" t="inlineStr">
        <is>
          <t xml:space="preserve">A0</t>
        </is>
      </c>
      <c r="C125" t="inlineStr">
        <is>
          <t xml:space="preserve">people</t>
        </is>
      </c>
      <c r="D125" t="inlineStr">
        <is>
          <t xml:space="preserve">A0-008</t>
        </is>
      </c>
      <c r="E125" s="3" t="inlineStr">
        <is>
          <t xml:space="preserve">girl</t>
        </is>
      </c>
      <c r="F125" s="3" t="inlineStr">
        <is>
          <t xml:space="preserve">cô bé</t>
        </is>
      </c>
      <c r="G125" t="inlineStr">
        <is>
          <t xml:space="preserve">/ɡɜrl/</t>
        </is>
      </c>
      <c r="H125" s="3" t="inlineStr">
        <is>
          <t xml:space="preserve">The girl reads a book.</t>
        </is>
      </c>
      <c r="I125" s="3" t="inlineStr">
        <is>
          <t xml:space="preserve">a young girl</t>
        </is>
      </c>
      <c r="J125" t="inlineStr">
        <is>
          <t xml:space="preserve">data/roadmap</t>
        </is>
      </c>
      <c r="K125" s="2">
        <v>46317</v>
      </c>
      <c r="L125">
        <f>IF($K125="","",IF($K125=TODAY(),COUNTIF($K$2:$K125,TODAY()),""))</f>
      </c>
    </row>
    <row r="126">
      <c r="A126" t="inlineStr">
        <is>
          <t xml:space="preserve">a0_fam_122</t>
        </is>
      </c>
      <c r="B126" t="inlineStr">
        <is>
          <t xml:space="preserve">A0</t>
        </is>
      </c>
      <c r="C126" t="inlineStr">
        <is>
          <t xml:space="preserve">people</t>
        </is>
      </c>
      <c r="D126" t="inlineStr">
        <is>
          <t xml:space="preserve">A0-008</t>
        </is>
      </c>
      <c r="E126" s="3" t="inlineStr">
        <is>
          <t xml:space="preserve">woman</t>
        </is>
      </c>
      <c r="F126" s="3" t="inlineStr">
        <is>
          <t xml:space="preserve">người phụ nữ</t>
        </is>
      </c>
      <c r="G126" t="inlineStr">
        <is>
          <t xml:space="preserve">/ˈwʊmən/</t>
        </is>
      </c>
      <c r="H126" s="3" t="inlineStr">
        <is>
          <t xml:space="preserve">That woman is my aunt.</t>
        </is>
      </c>
      <c r="I126" s="3" t="inlineStr">
        <is>
          <t xml:space="preserve">a working woman</t>
        </is>
      </c>
      <c r="J126" t="inlineStr">
        <is>
          <t xml:space="preserve">data/roadmap</t>
        </is>
      </c>
      <c r="K126" s="2">
        <v>46317</v>
      </c>
      <c r="L126">
        <f>IF($K126="","",IF($K126=TODAY(),COUNTIF($K$2:$K126,TODAY()),""))</f>
      </c>
    </row>
    <row r="127">
      <c r="A127" t="inlineStr">
        <is>
          <t xml:space="preserve">a0_fam_123</t>
        </is>
      </c>
      <c r="B127" t="inlineStr">
        <is>
          <t xml:space="preserve">A0</t>
        </is>
      </c>
      <c r="C127" t="inlineStr">
        <is>
          <t xml:space="preserve">people</t>
        </is>
      </c>
      <c r="D127" t="inlineStr">
        <is>
          <t xml:space="preserve">A0-008</t>
        </is>
      </c>
      <c r="E127" s="3" t="inlineStr">
        <is>
          <t xml:space="preserve">people</t>
        </is>
      </c>
      <c r="F127" s="3" t="inlineStr">
        <is>
          <t xml:space="preserve">người ta</t>
        </is>
      </c>
      <c r="G127" t="inlineStr">
        <is>
          <t xml:space="preserve">/ˈpipəl/</t>
        </is>
      </c>
      <c r="H127" s="3" t="inlineStr">
        <is>
          <t xml:space="preserve">Many people work here.</t>
        </is>
      </c>
      <c r="I127" s="3" t="inlineStr">
        <is>
          <t xml:space="preserve">young people</t>
        </is>
      </c>
      <c r="J127" t="inlineStr">
        <is>
          <t xml:space="preserve">data/roadmap</t>
        </is>
      </c>
      <c r="K127" s="2">
        <v>46317</v>
      </c>
      <c r="L127">
        <f>IF($K127="","",IF($K127=TODAY(),COUNTIF($K$2:$K127,TODAY()),""))</f>
      </c>
    </row>
    <row r="128">
      <c r="A128" t="inlineStr">
        <is>
          <t xml:space="preserve">a0_fam_124</t>
        </is>
      </c>
      <c r="B128" t="inlineStr">
        <is>
          <t xml:space="preserve">A0</t>
        </is>
      </c>
      <c r="C128" t="inlineStr">
        <is>
          <t xml:space="preserve">adjective</t>
        </is>
      </c>
      <c r="D128" t="inlineStr">
        <is>
          <t xml:space="preserve">A0-008</t>
        </is>
      </c>
      <c r="E128" s="3" t="inlineStr">
        <is>
          <t xml:space="preserve">old</t>
        </is>
      </c>
      <c r="F128" s="3" t="inlineStr">
        <is>
          <t xml:space="preserve">già, cũ</t>
        </is>
      </c>
      <c r="G128" t="inlineStr">
        <is>
          <t xml:space="preserve">/oʊld/</t>
        </is>
      </c>
      <c r="H128" s="3" t="inlineStr">
        <is>
          <t xml:space="preserve">My grandfather is old.</t>
        </is>
      </c>
      <c r="I128" s="3" t="inlineStr">
        <is>
          <t xml:space="preserve">how old are you</t>
        </is>
      </c>
      <c r="J128" t="inlineStr">
        <is>
          <t xml:space="preserve">data/roadmap</t>
        </is>
      </c>
      <c r="K128" s="2">
        <v>46317</v>
      </c>
      <c r="L128">
        <f>IF($K128="","",IF($K128=TODAY(),COUNTIF($K$2:$K128,TODAY()),""))</f>
      </c>
    </row>
    <row r="129">
      <c r="A129" t="inlineStr">
        <is>
          <t xml:space="preserve">a0_fam_125</t>
        </is>
      </c>
      <c r="B129" t="inlineStr">
        <is>
          <t xml:space="preserve">A0</t>
        </is>
      </c>
      <c r="C129" t="inlineStr">
        <is>
          <t xml:space="preserve">adjective</t>
        </is>
      </c>
      <c r="D129" t="inlineStr">
        <is>
          <t xml:space="preserve">A0-008</t>
        </is>
      </c>
      <c r="E129" s="3" t="inlineStr">
        <is>
          <t xml:space="preserve">young</t>
        </is>
      </c>
      <c r="F129" s="3" t="inlineStr">
        <is>
          <t xml:space="preserve">trẻ</t>
        </is>
      </c>
      <c r="G129" t="inlineStr">
        <is>
          <t xml:space="preserve">/jʌŋ/</t>
        </is>
      </c>
      <c r="H129" s="3" t="inlineStr">
        <is>
          <t xml:space="preserve">The young boy is fast.</t>
        </is>
      </c>
      <c r="I129" s="3" t="inlineStr">
        <is>
          <t xml:space="preserve">a young student</t>
        </is>
      </c>
      <c r="J129" t="inlineStr">
        <is>
          <t xml:space="preserve">data/roadmap</t>
        </is>
      </c>
      <c r="K129" s="2">
        <v>46317</v>
      </c>
      <c r="L129">
        <f>IF($K129="","",IF($K129=TODAY(),COUNTIF($K$2:$K129,TODAY()),""))</f>
      </c>
    </row>
    <row r="130">
      <c r="A130" t="inlineStr">
        <is>
          <t xml:space="preserve">a0_fam_126</t>
        </is>
      </c>
      <c r="B130" t="inlineStr">
        <is>
          <t xml:space="preserve">A0</t>
        </is>
      </c>
      <c r="C130" t="inlineStr">
        <is>
          <t xml:space="preserve">adjective</t>
        </is>
      </c>
      <c r="D130" t="inlineStr">
        <is>
          <t xml:space="preserve">A0-008</t>
        </is>
      </c>
      <c r="E130" s="3" t="inlineStr">
        <is>
          <t xml:space="preserve">tall</t>
        </is>
      </c>
      <c r="F130" s="3" t="inlineStr">
        <is>
          <t xml:space="preserve">cao</t>
        </is>
      </c>
      <c r="G130" t="inlineStr">
        <is>
          <t xml:space="preserve">/tɔl/</t>
        </is>
      </c>
      <c r="H130" s="3" t="inlineStr">
        <is>
          <t xml:space="preserve">My brother is tall.</t>
        </is>
      </c>
      <c r="I130" s="3" t="inlineStr">
        <is>
          <t xml:space="preserve">very tall</t>
        </is>
      </c>
      <c r="J130" t="inlineStr">
        <is>
          <t xml:space="preserve">data/roadmap</t>
        </is>
      </c>
      <c r="K130" s="2">
        <v>46318</v>
      </c>
      <c r="L130">
        <f>IF($K130="","",IF($K130=TODAY(),COUNTIF($K$2:$K130,TODAY()),""))</f>
      </c>
    </row>
    <row r="131">
      <c r="A131" t="inlineStr">
        <is>
          <t xml:space="preserve">a0_fam_127</t>
        </is>
      </c>
      <c r="B131" t="inlineStr">
        <is>
          <t xml:space="preserve">A0</t>
        </is>
      </c>
      <c r="C131" t="inlineStr">
        <is>
          <t xml:space="preserve">adjective</t>
        </is>
      </c>
      <c r="D131" t="inlineStr">
        <is>
          <t xml:space="preserve">A0-008</t>
        </is>
      </c>
      <c r="E131" s="3" t="inlineStr">
        <is>
          <t xml:space="preserve">big</t>
        </is>
      </c>
      <c r="F131" s="3" t="inlineStr">
        <is>
          <t xml:space="preserve">to</t>
        </is>
      </c>
      <c r="G131" t="inlineStr">
        <is>
          <t xml:space="preserve">/bɪɡ/</t>
        </is>
      </c>
      <c r="H131" s="3" t="inlineStr">
        <is>
          <t xml:space="preserve">Their house is big.</t>
        </is>
      </c>
      <c r="I131" s="3" t="inlineStr">
        <is>
          <t xml:space="preserve">a big city</t>
        </is>
      </c>
      <c r="J131" t="inlineStr">
        <is>
          <t xml:space="preserve">data/roadmap</t>
        </is>
      </c>
      <c r="K131" s="2">
        <v>46318</v>
      </c>
      <c r="L131">
        <f>IF($K131="","",IF($K131=TODAY(),COUNTIF($K$2:$K131,TODAY()),""))</f>
      </c>
    </row>
    <row r="132">
      <c r="A132" t="inlineStr">
        <is>
          <t xml:space="preserve">a0_fam_128</t>
        </is>
      </c>
      <c r="B132" t="inlineStr">
        <is>
          <t xml:space="preserve">A0</t>
        </is>
      </c>
      <c r="C132" t="inlineStr">
        <is>
          <t xml:space="preserve">adjective</t>
        </is>
      </c>
      <c r="D132" t="inlineStr">
        <is>
          <t xml:space="preserve">A0-008</t>
        </is>
      </c>
      <c r="E132" s="3" t="inlineStr">
        <is>
          <t xml:space="preserve">small</t>
        </is>
      </c>
      <c r="F132" s="3" t="inlineStr">
        <is>
          <t xml:space="preserve">nhỏ</t>
        </is>
      </c>
      <c r="G132" t="inlineStr">
        <is>
          <t xml:space="preserve">/smɔl/</t>
        </is>
      </c>
      <c r="H132" s="3" t="inlineStr">
        <is>
          <t xml:space="preserve">My room is small but nice.</t>
        </is>
      </c>
      <c r="I132" s="3" t="inlineStr">
        <is>
          <t xml:space="preserve">a small town</t>
        </is>
      </c>
      <c r="J132" t="inlineStr">
        <is>
          <t xml:space="preserve">data/roadmap</t>
        </is>
      </c>
      <c r="K132" s="2">
        <v>46318</v>
      </c>
      <c r="L132">
        <f>IF($K132="","",IF($K132=TODAY(),COUNTIF($K$2:$K132,TODAY()),""))</f>
      </c>
    </row>
    <row r="133">
      <c r="A133" t="inlineStr">
        <is>
          <t xml:space="preserve">a0_fam_129</t>
        </is>
      </c>
      <c r="B133" t="inlineStr">
        <is>
          <t xml:space="preserve">A0</t>
        </is>
      </c>
      <c r="C133" t="inlineStr">
        <is>
          <t xml:space="preserve">adjective</t>
        </is>
      </c>
      <c r="D133" t="inlineStr">
        <is>
          <t xml:space="preserve">A0-008</t>
        </is>
      </c>
      <c r="E133" s="3" t="inlineStr">
        <is>
          <t xml:space="preserve">red</t>
        </is>
      </c>
      <c r="F133" s="3" t="inlineStr">
        <is>
          <t xml:space="preserve">đỏ</t>
        </is>
      </c>
      <c r="G133" t="inlineStr">
        <is>
          <t xml:space="preserve">/rɛd/</t>
        </is>
      </c>
      <c r="H133" s="3" t="inlineStr">
        <is>
          <t xml:space="preserve">Her bag is red.</t>
        </is>
      </c>
      <c r="I133" s="3" t="inlineStr">
        <is>
          <t xml:space="preserve">red and blue</t>
        </is>
      </c>
      <c r="J133" t="inlineStr">
        <is>
          <t xml:space="preserve">data/roadmap</t>
        </is>
      </c>
      <c r="K133" s="2">
        <v>46318</v>
      </c>
      <c r="L133">
        <f>IF($K133="","",IF($K133=TODAY(),COUNTIF($K$2:$K133,TODAY()),""))</f>
      </c>
    </row>
    <row r="134">
      <c r="A134" t="inlineStr">
        <is>
          <t xml:space="preserve">a0_fam_130</t>
        </is>
      </c>
      <c r="B134" t="inlineStr">
        <is>
          <t xml:space="preserve">A0</t>
        </is>
      </c>
      <c r="C134" t="inlineStr">
        <is>
          <t xml:space="preserve">adjective</t>
        </is>
      </c>
      <c r="D134" t="inlineStr">
        <is>
          <t xml:space="preserve">A0-008</t>
        </is>
      </c>
      <c r="E134" s="3" t="inlineStr">
        <is>
          <t xml:space="preserve">blue</t>
        </is>
      </c>
      <c r="F134" s="3" t="inlineStr">
        <is>
          <t xml:space="preserve">xanh dương</t>
        </is>
      </c>
      <c r="G134" t="inlineStr">
        <is>
          <t xml:space="preserve">/blu/</t>
        </is>
      </c>
      <c r="H134" s="3" t="inlineStr">
        <is>
          <t xml:space="preserve">The sky is blue.</t>
        </is>
      </c>
      <c r="I134" s="3" t="inlineStr">
        <is>
          <t xml:space="preserve">dark blue</t>
        </is>
      </c>
      <c r="J134" t="inlineStr">
        <is>
          <t xml:space="preserve">data/roadmap</t>
        </is>
      </c>
      <c r="K134" s="2">
        <v>46318</v>
      </c>
      <c r="L134">
        <f>IF($K134="","",IF($K134=TODAY(),COUNTIF($K$2:$K134,TODAY()),""))</f>
      </c>
    </row>
    <row r="135">
      <c r="A135" t="inlineStr">
        <is>
          <t xml:space="preserve">cur_v003</t>
        </is>
      </c>
      <c r="B135" t="inlineStr">
        <is>
          <t xml:space="preserve">A0</t>
        </is>
      </c>
      <c r="C135" t="inlineStr">
        <is>
          <t xml:space="preserve">family</t>
        </is>
      </c>
      <c r="D135" t="inlineStr">
        <is>
          <t xml:space="preserve">A0-008</t>
        </is>
      </c>
      <c r="E135" s="3" t="inlineStr">
        <is>
          <t xml:space="preserve">family</t>
        </is>
      </c>
      <c r="F135" s="3" t="inlineStr">
        <is>
          <t xml:space="preserve">gia đình</t>
        </is>
      </c>
      <c r="G135" t="inlineStr">
        <is>
          <t xml:space="preserve">/ˈfæməli/</t>
        </is>
      </c>
      <c r="H135" s="3" t="inlineStr">
        <is>
          <t xml:space="preserve">I have a small family.</t>
        </is>
      </c>
      <c r="I135" s="3" t="inlineStr">
        <is>
          <t xml:space="preserve">family member</t>
        </is>
      </c>
      <c r="J135" t="inlineStr">
        <is>
          <t xml:space="preserve">data/roadmap</t>
        </is>
      </c>
      <c r="K135" s="2">
        <v>46318</v>
      </c>
      <c r="L135">
        <f>IF($K135="","",IF($K135=TODAY(),COUNTIF($K$2:$K135,TODAY()),""))</f>
      </c>
    </row>
    <row r="136">
      <c r="A136" t="inlineStr">
        <is>
          <t xml:space="preserve">a0_food_131</t>
        </is>
      </c>
      <c r="B136" t="inlineStr">
        <is>
          <t xml:space="preserve">A0</t>
        </is>
      </c>
      <c r="C136" t="inlineStr">
        <is>
          <t xml:space="preserve">food</t>
        </is>
      </c>
      <c r="D136" t="inlineStr">
        <is>
          <t xml:space="preserve">A0-009</t>
        </is>
      </c>
      <c r="E136" s="3" t="inlineStr">
        <is>
          <t xml:space="preserve">water</t>
        </is>
      </c>
      <c r="F136" s="3" t="inlineStr">
        <is>
          <t xml:space="preserve">nước</t>
        </is>
      </c>
      <c r="G136" t="inlineStr">
        <is>
          <t xml:space="preserve">/ˈwɔtɚ/</t>
        </is>
      </c>
      <c r="H136" s="3" t="inlineStr">
        <is>
          <t xml:space="preserve">I drink water every morning.</t>
        </is>
      </c>
      <c r="I136" s="3" t="inlineStr">
        <is>
          <t xml:space="preserve">a glass of water</t>
        </is>
      </c>
      <c r="J136" t="inlineStr">
        <is>
          <t xml:space="preserve">data/roadmap</t>
        </is>
      </c>
      <c r="K136" s="2">
        <v>46318</v>
      </c>
      <c r="L136">
        <f>IF($K136="","",IF($K136=TODAY(),COUNTIF($K$2:$K136,TODAY()),""))</f>
      </c>
    </row>
    <row r="137">
      <c r="A137" t="inlineStr">
        <is>
          <t xml:space="preserve">a0_food_132</t>
        </is>
      </c>
      <c r="B137" t="inlineStr">
        <is>
          <t xml:space="preserve">A0</t>
        </is>
      </c>
      <c r="C137" t="inlineStr">
        <is>
          <t xml:space="preserve">food</t>
        </is>
      </c>
      <c r="D137" t="inlineStr">
        <is>
          <t xml:space="preserve">A0-009</t>
        </is>
      </c>
      <c r="E137" s="3" t="inlineStr">
        <is>
          <t xml:space="preserve">rice</t>
        </is>
      </c>
      <c r="F137" s="3" t="inlineStr">
        <is>
          <t xml:space="preserve">cơm, gạo</t>
        </is>
      </c>
      <c r="G137" t="inlineStr">
        <is>
          <t xml:space="preserve">/raɪs/</t>
        </is>
      </c>
      <c r="H137" s="3" t="inlineStr">
        <is>
          <t xml:space="preserve">We eat rice at noon.</t>
        </is>
      </c>
      <c r="I137" s="3" t="inlineStr">
        <is>
          <t xml:space="preserve">a bowl of rice</t>
        </is>
      </c>
      <c r="J137" t="inlineStr">
        <is>
          <t xml:space="preserve">data/roadmap</t>
        </is>
      </c>
      <c r="K137" s="2">
        <v>46318</v>
      </c>
      <c r="L137">
        <f>IF($K137="","",IF($K137=TODAY(),COUNTIF($K$2:$K137,TODAY()),""))</f>
      </c>
    </row>
    <row r="138">
      <c r="A138" t="inlineStr">
        <is>
          <t xml:space="preserve">a0_food_133</t>
        </is>
      </c>
      <c r="B138" t="inlineStr">
        <is>
          <t xml:space="preserve">A0</t>
        </is>
      </c>
      <c r="C138" t="inlineStr">
        <is>
          <t xml:space="preserve">food</t>
        </is>
      </c>
      <c r="D138" t="inlineStr">
        <is>
          <t xml:space="preserve">A0-009</t>
        </is>
      </c>
      <c r="E138" s="3" t="inlineStr">
        <is>
          <t xml:space="preserve">bread</t>
        </is>
      </c>
      <c r="F138" s="3" t="inlineStr">
        <is>
          <t xml:space="preserve">bánh mì</t>
        </is>
      </c>
      <c r="G138" t="inlineStr">
        <is>
          <t xml:space="preserve">/brɛd/</t>
        </is>
      </c>
      <c r="H138" s="3" t="inlineStr">
        <is>
          <t xml:space="preserve">I buy bread in the morning.</t>
        </is>
      </c>
      <c r="I138" s="3" t="inlineStr">
        <is>
          <t xml:space="preserve">a slice of bread</t>
        </is>
      </c>
      <c r="J138" t="inlineStr">
        <is>
          <t xml:space="preserve">data/roadmap</t>
        </is>
      </c>
      <c r="K138" s="2">
        <v>46319</v>
      </c>
      <c r="L138">
        <f>IF($K138="","",IF($K138=TODAY(),COUNTIF($K$2:$K138,TODAY()),""))</f>
      </c>
    </row>
    <row r="139">
      <c r="A139" t="inlineStr">
        <is>
          <t xml:space="preserve">a0_food_134</t>
        </is>
      </c>
      <c r="B139" t="inlineStr">
        <is>
          <t xml:space="preserve">A0</t>
        </is>
      </c>
      <c r="C139" t="inlineStr">
        <is>
          <t xml:space="preserve">food</t>
        </is>
      </c>
      <c r="D139" t="inlineStr">
        <is>
          <t xml:space="preserve">A0-009</t>
        </is>
      </c>
      <c r="E139" s="3" t="inlineStr">
        <is>
          <t xml:space="preserve">egg</t>
        </is>
      </c>
      <c r="F139" s="3" t="inlineStr">
        <is>
          <t xml:space="preserve">trứng</t>
        </is>
      </c>
      <c r="G139" t="inlineStr">
        <is>
          <t xml:space="preserve">/ɛɡ/</t>
        </is>
      </c>
      <c r="H139" s="3" t="inlineStr">
        <is>
          <t xml:space="preserve">She cooks two eggs.</t>
        </is>
      </c>
      <c r="I139" s="3" t="inlineStr">
        <is>
          <t xml:space="preserve">a boiled egg</t>
        </is>
      </c>
      <c r="J139" t="inlineStr">
        <is>
          <t xml:space="preserve">data/roadmap</t>
        </is>
      </c>
      <c r="K139" s="2">
        <v>46319</v>
      </c>
      <c r="L139">
        <f>IF($K139="","",IF($K139=TODAY(),COUNTIF($K$2:$K139,TODAY()),""))</f>
      </c>
    </row>
    <row r="140">
      <c r="A140" t="inlineStr">
        <is>
          <t xml:space="preserve">a0_food_135</t>
        </is>
      </c>
      <c r="B140" t="inlineStr">
        <is>
          <t xml:space="preserve">A0</t>
        </is>
      </c>
      <c r="C140" t="inlineStr">
        <is>
          <t xml:space="preserve">food</t>
        </is>
      </c>
      <c r="D140" t="inlineStr">
        <is>
          <t xml:space="preserve">A0-009</t>
        </is>
      </c>
      <c r="E140" s="3" t="inlineStr">
        <is>
          <t xml:space="preserve">milk</t>
        </is>
      </c>
      <c r="F140" s="3" t="inlineStr">
        <is>
          <t xml:space="preserve">sữa</t>
        </is>
      </c>
      <c r="G140" t="inlineStr">
        <is>
          <t xml:space="preserve">/mɪlk/</t>
        </is>
      </c>
      <c r="H140" s="3" t="inlineStr">
        <is>
          <t xml:space="preserve">The baby drinks milk.</t>
        </is>
      </c>
      <c r="I140" s="3" t="inlineStr">
        <is>
          <t xml:space="preserve">a glass of milk</t>
        </is>
      </c>
      <c r="J140" t="inlineStr">
        <is>
          <t xml:space="preserve">data/roadmap</t>
        </is>
      </c>
      <c r="K140" s="2">
        <v>46319</v>
      </c>
      <c r="L140">
        <f>IF($K140="","",IF($K140=TODAY(),COUNTIF($K$2:$K140,TODAY()),""))</f>
      </c>
    </row>
    <row r="141">
      <c r="A141" t="inlineStr">
        <is>
          <t xml:space="preserve">a0_food_136</t>
        </is>
      </c>
      <c r="B141" t="inlineStr">
        <is>
          <t xml:space="preserve">A0</t>
        </is>
      </c>
      <c r="C141" t="inlineStr">
        <is>
          <t xml:space="preserve">food</t>
        </is>
      </c>
      <c r="D141" t="inlineStr">
        <is>
          <t xml:space="preserve">A0-009</t>
        </is>
      </c>
      <c r="E141" s="3" t="inlineStr">
        <is>
          <t xml:space="preserve">coffee</t>
        </is>
      </c>
      <c r="F141" s="3" t="inlineStr">
        <is>
          <t xml:space="preserve">cà phê</t>
        </is>
      </c>
      <c r="G141" t="inlineStr">
        <is>
          <t xml:space="preserve">/ˈkɔfi/</t>
        </is>
      </c>
      <c r="H141" s="3" t="inlineStr">
        <is>
          <t xml:space="preserve">My father drinks black coffee.</t>
        </is>
      </c>
      <c r="I141" s="3" t="inlineStr">
        <is>
          <t xml:space="preserve">a cup of coffee</t>
        </is>
      </c>
      <c r="J141" t="inlineStr">
        <is>
          <t xml:space="preserve">data/roadmap</t>
        </is>
      </c>
      <c r="K141" s="2">
        <v>46319</v>
      </c>
      <c r="L141">
        <f>IF($K141="","",IF($K141=TODAY(),COUNTIF($K$2:$K141,TODAY()),""))</f>
      </c>
    </row>
    <row r="142">
      <c r="A142" t="inlineStr">
        <is>
          <t xml:space="preserve">a0_food_137</t>
        </is>
      </c>
      <c r="B142" t="inlineStr">
        <is>
          <t xml:space="preserve">A0</t>
        </is>
      </c>
      <c r="C142" t="inlineStr">
        <is>
          <t xml:space="preserve">food</t>
        </is>
      </c>
      <c r="D142" t="inlineStr">
        <is>
          <t xml:space="preserve">A0-009</t>
        </is>
      </c>
      <c r="E142" s="3" t="inlineStr">
        <is>
          <t xml:space="preserve">tea</t>
        </is>
      </c>
      <c r="F142" s="3" t="inlineStr">
        <is>
          <t xml:space="preserve">trà</t>
        </is>
      </c>
      <c r="G142" t="inlineStr">
        <is>
          <t xml:space="preserve">/ti/</t>
        </is>
      </c>
      <c r="H142" s="3" t="inlineStr">
        <is>
          <t xml:space="preserve">Would you like some tea?</t>
        </is>
      </c>
      <c r="I142" s="3" t="inlineStr">
        <is>
          <t xml:space="preserve">a cup of tea</t>
        </is>
      </c>
      <c r="J142" t="inlineStr">
        <is>
          <t xml:space="preserve">data/roadmap</t>
        </is>
      </c>
      <c r="K142" s="2">
        <v>46319</v>
      </c>
      <c r="L142">
        <f>IF($K142="","",IF($K142=TODAY(),COUNTIF($K$2:$K142,TODAY()),""))</f>
      </c>
    </row>
    <row r="143">
      <c r="A143" t="inlineStr">
        <is>
          <t xml:space="preserve">a0_food_138</t>
        </is>
      </c>
      <c r="B143" t="inlineStr">
        <is>
          <t xml:space="preserve">A0</t>
        </is>
      </c>
      <c r="C143" t="inlineStr">
        <is>
          <t xml:space="preserve">food</t>
        </is>
      </c>
      <c r="D143" t="inlineStr">
        <is>
          <t xml:space="preserve">A0-009</t>
        </is>
      </c>
      <c r="E143" s="3" t="inlineStr">
        <is>
          <t xml:space="preserve">apple</t>
        </is>
      </c>
      <c r="F143" s="3" t="inlineStr">
        <is>
          <t xml:space="preserve">quả táo</t>
        </is>
      </c>
      <c r="G143" t="inlineStr">
        <is>
          <t xml:space="preserve">/ˈæpəl/</t>
        </is>
      </c>
      <c r="H143" s="3" t="inlineStr">
        <is>
          <t xml:space="preserve">I eat one apple a day.</t>
        </is>
      </c>
      <c r="I143" s="3" t="inlineStr">
        <is>
          <t xml:space="preserve">a red apple</t>
        </is>
      </c>
      <c r="J143" t="inlineStr">
        <is>
          <t xml:space="preserve">data/roadmap</t>
        </is>
      </c>
      <c r="K143" s="2">
        <v>46319</v>
      </c>
      <c r="L143">
        <f>IF($K143="","",IF($K143=TODAY(),COUNTIF($K$2:$K143,TODAY()),""))</f>
      </c>
    </row>
    <row r="144">
      <c r="A144" t="inlineStr">
        <is>
          <t xml:space="preserve">a0_food_139</t>
        </is>
      </c>
      <c r="B144" t="inlineStr">
        <is>
          <t xml:space="preserve">A0</t>
        </is>
      </c>
      <c r="C144" t="inlineStr">
        <is>
          <t xml:space="preserve">food</t>
        </is>
      </c>
      <c r="D144" t="inlineStr">
        <is>
          <t xml:space="preserve">A0-009</t>
        </is>
      </c>
      <c r="E144" s="3" t="inlineStr">
        <is>
          <t xml:space="preserve">fish</t>
        </is>
      </c>
      <c r="F144" s="3" t="inlineStr">
        <is>
          <t xml:space="preserve">cá</t>
        </is>
      </c>
      <c r="G144" t="inlineStr">
        <is>
          <t xml:space="preserve">/fɪʃ/</t>
        </is>
      </c>
      <c r="H144" s="3" t="inlineStr">
        <is>
          <t xml:space="preserve">We buy fresh fish at the market.</t>
        </is>
      </c>
      <c r="I144" s="3" t="inlineStr">
        <is>
          <t xml:space="preserve">fried fish</t>
        </is>
      </c>
      <c r="J144" t="inlineStr">
        <is>
          <t xml:space="preserve">data/roadmap</t>
        </is>
      </c>
      <c r="K144" s="2">
        <v>46319</v>
      </c>
      <c r="L144">
        <f>IF($K144="","",IF($K144=TODAY(),COUNTIF($K$2:$K144,TODAY()),""))</f>
      </c>
    </row>
    <row r="145">
      <c r="A145" t="inlineStr">
        <is>
          <t xml:space="preserve">a0_food_140</t>
        </is>
      </c>
      <c r="B145" t="inlineStr">
        <is>
          <t xml:space="preserve">A0</t>
        </is>
      </c>
      <c r="C145" t="inlineStr">
        <is>
          <t xml:space="preserve">food</t>
        </is>
      </c>
      <c r="D145" t="inlineStr">
        <is>
          <t xml:space="preserve">A0-009</t>
        </is>
      </c>
      <c r="E145" s="3" t="inlineStr">
        <is>
          <t xml:space="preserve">meat</t>
        </is>
      </c>
      <c r="F145" s="3" t="inlineStr">
        <is>
          <t xml:space="preserve">thịt</t>
        </is>
      </c>
      <c r="G145" t="inlineStr">
        <is>
          <t xml:space="preserve">/mit/</t>
        </is>
      </c>
      <c r="H145" s="3" t="inlineStr">
        <is>
          <t xml:space="preserve">There is no meat in my bowl.</t>
        </is>
      </c>
      <c r="I145" s="3" t="inlineStr">
        <is>
          <t xml:space="preserve">a piece of meat</t>
        </is>
      </c>
      <c r="J145" t="inlineStr">
        <is>
          <t xml:space="preserve">data/roadmap</t>
        </is>
      </c>
      <c r="K145" s="2">
        <v>46319</v>
      </c>
      <c r="L145">
        <f>IF($K145="","",IF($K145=TODAY(),COUNTIF($K$2:$K145,TODAY()),""))</f>
      </c>
    </row>
    <row r="146">
      <c r="A146" t="inlineStr">
        <is>
          <t xml:space="preserve">a0_food_141</t>
        </is>
      </c>
      <c r="B146" t="inlineStr">
        <is>
          <t xml:space="preserve">A0</t>
        </is>
      </c>
      <c r="C146" t="inlineStr">
        <is>
          <t xml:space="preserve">food</t>
        </is>
      </c>
      <c r="D146" t="inlineStr">
        <is>
          <t xml:space="preserve">A0-009</t>
        </is>
      </c>
      <c r="E146" s="3" t="inlineStr">
        <is>
          <t xml:space="preserve">fruit</t>
        </is>
      </c>
      <c r="F146" s="3" t="inlineStr">
        <is>
          <t xml:space="preserve">trái cây</t>
        </is>
      </c>
      <c r="G146" t="inlineStr">
        <is>
          <t xml:space="preserve">/frut/</t>
        </is>
      </c>
      <c r="H146" s="3" t="inlineStr">
        <is>
          <t xml:space="preserve">I like sweet fruit.</t>
        </is>
      </c>
      <c r="I146" s="3" t="inlineStr">
        <is>
          <t xml:space="preserve">fresh fruit</t>
        </is>
      </c>
      <c r="J146" t="inlineStr">
        <is>
          <t xml:space="preserve">data/roadmap</t>
        </is>
      </c>
      <c r="K146" s="2">
        <v>46321</v>
      </c>
      <c r="L146">
        <f>IF($K146="","",IF($K146=TODAY(),COUNTIF($K$2:$K146,TODAY()),""))</f>
      </c>
    </row>
    <row r="147">
      <c r="A147" t="inlineStr">
        <is>
          <t xml:space="preserve">a0_food_142</t>
        </is>
      </c>
      <c r="B147" t="inlineStr">
        <is>
          <t xml:space="preserve">A0</t>
        </is>
      </c>
      <c r="C147" t="inlineStr">
        <is>
          <t xml:space="preserve">food</t>
        </is>
      </c>
      <c r="D147" t="inlineStr">
        <is>
          <t xml:space="preserve">A0-009</t>
        </is>
      </c>
      <c r="E147" s="3" t="inlineStr">
        <is>
          <t xml:space="preserve">sugar</t>
        </is>
      </c>
      <c r="F147" s="3" t="inlineStr">
        <is>
          <t xml:space="preserve">đường</t>
        </is>
      </c>
      <c r="G147" t="inlineStr">
        <is>
          <t xml:space="preserve">/ˈʃʊɡɚ/</t>
        </is>
      </c>
      <c r="H147" s="3" t="inlineStr">
        <is>
          <t xml:space="preserve">No sugar in my tea, please.</t>
        </is>
      </c>
      <c r="I147" s="3" t="inlineStr">
        <is>
          <t xml:space="preserve">a spoon of sugar</t>
        </is>
      </c>
      <c r="J147" t="inlineStr">
        <is>
          <t xml:space="preserve">data/roadmap</t>
        </is>
      </c>
      <c r="K147" s="2">
        <v>46321</v>
      </c>
      <c r="L147">
        <f>IF($K147="","",IF($K147=TODAY(),COUNTIF($K$2:$K147,TODAY()),""))</f>
      </c>
    </row>
    <row r="148">
      <c r="A148" t="inlineStr">
        <is>
          <t xml:space="preserve">a0_food_143</t>
        </is>
      </c>
      <c r="B148" t="inlineStr">
        <is>
          <t xml:space="preserve">A0</t>
        </is>
      </c>
      <c r="C148" t="inlineStr">
        <is>
          <t xml:space="preserve">food</t>
        </is>
      </c>
      <c r="D148" t="inlineStr">
        <is>
          <t xml:space="preserve">A0-009</t>
        </is>
      </c>
      <c r="E148" s="3" t="inlineStr">
        <is>
          <t xml:space="preserve">salt</t>
        </is>
      </c>
      <c r="F148" s="3" t="inlineStr">
        <is>
          <t xml:space="preserve">muối</t>
        </is>
      </c>
      <c r="G148" t="inlineStr">
        <is>
          <t xml:space="preserve">/sɔlt/</t>
        </is>
      </c>
      <c r="H148" s="3" t="inlineStr">
        <is>
          <t xml:space="preserve">Add a little salt to the soup.</t>
        </is>
      </c>
      <c r="I148" s="3" t="inlineStr">
        <is>
          <t xml:space="preserve">salt and pepper</t>
        </is>
      </c>
      <c r="J148" t="inlineStr">
        <is>
          <t xml:space="preserve">data/roadmap</t>
        </is>
      </c>
      <c r="K148" s="2">
        <v>46321</v>
      </c>
      <c r="L148">
        <f>IF($K148="","",IF($K148=TODAY(),COUNTIF($K$2:$K148,TODAY()),""))</f>
      </c>
    </row>
    <row r="149">
      <c r="A149" t="inlineStr">
        <is>
          <t xml:space="preserve">a0_food_144</t>
        </is>
      </c>
      <c r="B149" t="inlineStr">
        <is>
          <t xml:space="preserve">A0</t>
        </is>
      </c>
      <c r="C149" t="inlineStr">
        <is>
          <t xml:space="preserve">adjective</t>
        </is>
      </c>
      <c r="D149" t="inlineStr">
        <is>
          <t xml:space="preserve">A0-009</t>
        </is>
      </c>
      <c r="E149" s="3" t="inlineStr">
        <is>
          <t xml:space="preserve">hungry</t>
        </is>
      </c>
      <c r="F149" s="3" t="inlineStr">
        <is>
          <t xml:space="preserve">đói</t>
        </is>
      </c>
      <c r="G149" t="inlineStr">
        <is>
          <t xml:space="preserve">/ˈhʌŋɡri/</t>
        </is>
      </c>
      <c r="H149" s="3" t="inlineStr">
        <is>
          <t xml:space="preserve">I am hungry at noon.</t>
        </is>
      </c>
      <c r="I149" s="3" t="inlineStr">
        <is>
          <t xml:space="preserve">feel hungry</t>
        </is>
      </c>
      <c r="J149" t="inlineStr">
        <is>
          <t xml:space="preserve">data/roadmap</t>
        </is>
      </c>
      <c r="K149" s="2">
        <v>46321</v>
      </c>
      <c r="L149">
        <f>IF($K149="","",IF($K149=TODAY(),COUNTIF($K$2:$K149,TODAY()),""))</f>
      </c>
    </row>
    <row r="150">
      <c r="A150" t="inlineStr">
        <is>
          <t xml:space="preserve">a0_food_145</t>
        </is>
      </c>
      <c r="B150" t="inlineStr">
        <is>
          <t xml:space="preserve">A0</t>
        </is>
      </c>
      <c r="C150" t="inlineStr">
        <is>
          <t xml:space="preserve">adjective</t>
        </is>
      </c>
      <c r="D150" t="inlineStr">
        <is>
          <t xml:space="preserve">A0-009</t>
        </is>
      </c>
      <c r="E150" s="3" t="inlineStr">
        <is>
          <t xml:space="preserve">thirsty</t>
        </is>
      </c>
      <c r="F150" s="3" t="inlineStr">
        <is>
          <t xml:space="preserve">khát</t>
        </is>
      </c>
      <c r="G150" t="inlineStr">
        <is>
          <t xml:space="preserve">/ˈθɜrsti/</t>
        </is>
      </c>
      <c r="H150" s="3" t="inlineStr">
        <is>
          <t xml:space="preserve">She is thirsty after work.</t>
        </is>
      </c>
      <c r="I150" s="3" t="inlineStr">
        <is>
          <t xml:space="preserve">feel thirsty</t>
        </is>
      </c>
      <c r="J150" t="inlineStr">
        <is>
          <t xml:space="preserve">data/roadmap</t>
        </is>
      </c>
      <c r="K150" s="2">
        <v>46321</v>
      </c>
      <c r="L150">
        <f>IF($K150="","",IF($K150=TODAY(),COUNTIF($K$2:$K150,TODAY()),""))</f>
      </c>
    </row>
    <row r="151">
      <c r="A151" t="inlineStr">
        <is>
          <t xml:space="preserve">a0_food_146</t>
        </is>
      </c>
      <c r="B151" t="inlineStr">
        <is>
          <t xml:space="preserve">A0</t>
        </is>
      </c>
      <c r="C151" t="inlineStr">
        <is>
          <t xml:space="preserve">verb</t>
        </is>
      </c>
      <c r="D151" t="inlineStr">
        <is>
          <t xml:space="preserve">A0-009</t>
        </is>
      </c>
      <c r="E151" s="3" t="inlineStr">
        <is>
          <t xml:space="preserve">cook</t>
        </is>
      </c>
      <c r="F151" s="3" t="inlineStr">
        <is>
          <t xml:space="preserve">nấu ăn</t>
        </is>
      </c>
      <c r="G151" t="inlineStr">
        <is>
          <t xml:space="preserve">/kʊk/</t>
        </is>
      </c>
      <c r="H151" s="3" t="inlineStr">
        <is>
          <t xml:space="preserve">My mother cooks rice every day.</t>
        </is>
      </c>
      <c r="I151" s="3" t="inlineStr">
        <is>
          <t xml:space="preserve">cook dinner</t>
        </is>
      </c>
      <c r="J151" t="inlineStr">
        <is>
          <t xml:space="preserve">data/roadmap</t>
        </is>
      </c>
      <c r="K151" s="2">
        <v>46321</v>
      </c>
      <c r="L151">
        <f>IF($K151="","",IF($K151=TODAY(),COUNTIF($K$2:$K151,TODAY()),""))</f>
      </c>
    </row>
    <row r="152">
      <c r="A152" t="inlineStr">
        <is>
          <t xml:space="preserve">a0_food_147</t>
        </is>
      </c>
      <c r="B152" t="inlineStr">
        <is>
          <t xml:space="preserve">A0</t>
        </is>
      </c>
      <c r="C152" t="inlineStr">
        <is>
          <t xml:space="preserve">food</t>
        </is>
      </c>
      <c r="D152" t="inlineStr">
        <is>
          <t xml:space="preserve">A0-009</t>
        </is>
      </c>
      <c r="E152" s="3" t="inlineStr">
        <is>
          <t xml:space="preserve">bowl</t>
        </is>
      </c>
      <c r="F152" s="3" t="inlineStr">
        <is>
          <t xml:space="preserve">cái bát</t>
        </is>
      </c>
      <c r="G152" t="inlineStr">
        <is>
          <t xml:space="preserve">/boʊl/</t>
        </is>
      </c>
      <c r="H152" s="3" t="inlineStr">
        <is>
          <t xml:space="preserve">There is rice in the bowl.</t>
        </is>
      </c>
      <c r="I152" s="3" t="inlineStr">
        <is>
          <t xml:space="preserve">a bowl of soup</t>
        </is>
      </c>
      <c r="J152" t="inlineStr">
        <is>
          <t xml:space="preserve">data/roadmap</t>
        </is>
      </c>
      <c r="K152" s="2">
        <v>46321</v>
      </c>
      <c r="L152">
        <f>IF($K152="","",IF($K152=TODAY(),COUNTIF($K$2:$K152,TODAY()),""))</f>
      </c>
    </row>
    <row r="153">
      <c r="A153" t="inlineStr">
        <is>
          <t xml:space="preserve">cur_v004</t>
        </is>
      </c>
      <c r="B153" t="inlineStr">
        <is>
          <t xml:space="preserve">A0</t>
        </is>
      </c>
      <c r="C153" t="inlineStr">
        <is>
          <t xml:space="preserve">food</t>
        </is>
      </c>
      <c r="D153" t="inlineStr">
        <is>
          <t xml:space="preserve">A0-009</t>
        </is>
      </c>
      <c r="E153" s="3" t="inlineStr">
        <is>
          <t xml:space="preserve">eat</t>
        </is>
      </c>
      <c r="F153" s="3" t="inlineStr">
        <is>
          <t xml:space="preserve">ăn</t>
        </is>
      </c>
      <c r="G153" t="inlineStr">
        <is>
          <t xml:space="preserve">/it/</t>
        </is>
      </c>
      <c r="H153" s="3" t="inlineStr">
        <is>
          <t xml:space="preserve">I eat breakfast at seven.</t>
        </is>
      </c>
      <c r="I153" s="3" t="inlineStr">
        <is>
          <t xml:space="preserve">eat out, eat breakfast</t>
        </is>
      </c>
      <c r="J153" t="inlineStr">
        <is>
          <t xml:space="preserve">data/roadmap</t>
        </is>
      </c>
      <c r="K153" s="2">
        <v>46321</v>
      </c>
      <c r="L153">
        <f>IF($K153="","",IF($K153=TODAY(),COUNTIF($K$2:$K153,TODAY()),""))</f>
      </c>
    </row>
    <row r="154">
      <c r="A154" t="inlineStr">
        <is>
          <t xml:space="preserve">a0_ask_148</t>
        </is>
      </c>
      <c r="B154" t="inlineStr">
        <is>
          <t xml:space="preserve">A0</t>
        </is>
      </c>
      <c r="C154" t="inlineStr">
        <is>
          <t xml:space="preserve">question</t>
        </is>
      </c>
      <c r="D154" t="inlineStr">
        <is>
          <t xml:space="preserve">A0-010</t>
        </is>
      </c>
      <c r="E154" s="3" t="inlineStr">
        <is>
          <t xml:space="preserve">what</t>
        </is>
      </c>
      <c r="F154" s="3" t="inlineStr">
        <is>
          <t xml:space="preserve">cái gì</t>
        </is>
      </c>
      <c r="G154" t="inlineStr">
        <is>
          <t xml:space="preserve">/wʌt/</t>
        </is>
      </c>
      <c r="H154" s="3" t="inlineStr">
        <is>
          <t xml:space="preserve">What is your number?</t>
        </is>
      </c>
      <c r="I154" s="3" t="inlineStr">
        <is>
          <t xml:space="preserve">what time, what is this</t>
        </is>
      </c>
      <c r="J154" t="inlineStr">
        <is>
          <t xml:space="preserve">data/roadmap</t>
        </is>
      </c>
      <c r="K154" s="2">
        <v>46322</v>
      </c>
      <c r="L154">
        <f>IF($K154="","",IF($K154=TODAY(),COUNTIF($K$2:$K154,TODAY()),""))</f>
      </c>
    </row>
    <row r="155">
      <c r="A155" t="inlineStr">
        <is>
          <t xml:space="preserve">a0_ask_149</t>
        </is>
      </c>
      <c r="B155" t="inlineStr">
        <is>
          <t xml:space="preserve">A0</t>
        </is>
      </c>
      <c r="C155" t="inlineStr">
        <is>
          <t xml:space="preserve">question</t>
        </is>
      </c>
      <c r="D155" t="inlineStr">
        <is>
          <t xml:space="preserve">A0-010</t>
        </is>
      </c>
      <c r="E155" s="3" t="inlineStr">
        <is>
          <t xml:space="preserve">where</t>
        </is>
      </c>
      <c r="F155" s="3" t="inlineStr">
        <is>
          <t xml:space="preserve">ở đâu</t>
        </is>
      </c>
      <c r="G155" t="inlineStr">
        <is>
          <t xml:space="preserve">/wɛr/</t>
        </is>
      </c>
      <c r="H155" s="3" t="inlineStr">
        <is>
          <t xml:space="preserve">Where is my bag?</t>
        </is>
      </c>
      <c r="I155" s="3" t="inlineStr">
        <is>
          <t xml:space="preserve">where are you from</t>
        </is>
      </c>
      <c r="J155" t="inlineStr">
        <is>
          <t xml:space="preserve">data/roadmap</t>
        </is>
      </c>
      <c r="K155" s="2">
        <v>46322</v>
      </c>
      <c r="L155">
        <f>IF($K155="","",IF($K155=TODAY(),COUNTIF($K$2:$K155,TODAY()),""))</f>
      </c>
    </row>
    <row r="156">
      <c r="A156" t="inlineStr">
        <is>
          <t xml:space="preserve">a0_ask_150</t>
        </is>
      </c>
      <c r="B156" t="inlineStr">
        <is>
          <t xml:space="preserve">A0</t>
        </is>
      </c>
      <c r="C156" t="inlineStr">
        <is>
          <t xml:space="preserve">question</t>
        </is>
      </c>
      <c r="D156" t="inlineStr">
        <is>
          <t xml:space="preserve">A0-010</t>
        </is>
      </c>
      <c r="E156" s="3" t="inlineStr">
        <is>
          <t xml:space="preserve">who</t>
        </is>
      </c>
      <c r="F156" s="3" t="inlineStr">
        <is>
          <t xml:space="preserve">ai</t>
        </is>
      </c>
      <c r="G156" t="inlineStr">
        <is>
          <t xml:space="preserve">/hu/</t>
        </is>
      </c>
      <c r="H156" s="3" t="inlineStr">
        <is>
          <t xml:space="preserve">Who is that man?</t>
        </is>
      </c>
      <c r="I156" s="3" t="inlineStr">
        <is>
          <t xml:space="preserve">who are you</t>
        </is>
      </c>
      <c r="J156" t="inlineStr">
        <is>
          <t xml:space="preserve">data/roadmap</t>
        </is>
      </c>
      <c r="K156" s="2">
        <v>46322</v>
      </c>
      <c r="L156">
        <f>IF($K156="","",IF($K156=TODAY(),COUNTIF($K$2:$K156,TODAY()),""))</f>
      </c>
    </row>
    <row r="157">
      <c r="A157" t="inlineStr">
        <is>
          <t xml:space="preserve">a0_ask_151</t>
        </is>
      </c>
      <c r="B157" t="inlineStr">
        <is>
          <t xml:space="preserve">A0</t>
        </is>
      </c>
      <c r="C157" t="inlineStr">
        <is>
          <t xml:space="preserve">question</t>
        </is>
      </c>
      <c r="D157" t="inlineStr">
        <is>
          <t xml:space="preserve">A0-010</t>
        </is>
      </c>
      <c r="E157" s="3" t="inlineStr">
        <is>
          <t xml:space="preserve">when</t>
        </is>
      </c>
      <c r="F157" s="3" t="inlineStr">
        <is>
          <t xml:space="preserve">khi nào</t>
        </is>
      </c>
      <c r="G157" t="inlineStr">
        <is>
          <t xml:space="preserve">/wɛn/</t>
        </is>
      </c>
      <c r="H157" s="3" t="inlineStr">
        <is>
          <t xml:space="preserve">When is your class?</t>
        </is>
      </c>
      <c r="I157" s="3" t="inlineStr">
        <is>
          <t xml:space="preserve">when do you</t>
        </is>
      </c>
      <c r="J157" t="inlineStr">
        <is>
          <t xml:space="preserve">data/roadmap</t>
        </is>
      </c>
      <c r="K157" s="2">
        <v>46322</v>
      </c>
      <c r="L157">
        <f>IF($K157="","",IF($K157=TODAY(),COUNTIF($K$2:$K157,TODAY()),""))</f>
      </c>
    </row>
    <row r="158">
      <c r="A158" t="inlineStr">
        <is>
          <t xml:space="preserve">a0_ask_152</t>
        </is>
      </c>
      <c r="B158" t="inlineStr">
        <is>
          <t xml:space="preserve">A0</t>
        </is>
      </c>
      <c r="C158" t="inlineStr">
        <is>
          <t xml:space="preserve">question</t>
        </is>
      </c>
      <c r="D158" t="inlineStr">
        <is>
          <t xml:space="preserve">A0-010</t>
        </is>
      </c>
      <c r="E158" s="3" t="inlineStr">
        <is>
          <t xml:space="preserve">why</t>
        </is>
      </c>
      <c r="F158" s="3" t="inlineStr">
        <is>
          <t xml:space="preserve">tại sao</t>
        </is>
      </c>
      <c r="G158" t="inlineStr">
        <is>
          <t xml:space="preserve">/waɪ/</t>
        </is>
      </c>
      <c r="H158" s="3" t="inlineStr">
        <is>
          <t xml:space="preserve">Why are you late?</t>
        </is>
      </c>
      <c r="I158" s="3" t="inlineStr">
        <is>
          <t xml:space="preserve">why not</t>
        </is>
      </c>
      <c r="J158" t="inlineStr">
        <is>
          <t xml:space="preserve">data/roadmap</t>
        </is>
      </c>
      <c r="K158" s="2">
        <v>46322</v>
      </c>
      <c r="L158">
        <f>IF($K158="","",IF($K158=TODAY(),COUNTIF($K$2:$K158,TODAY()),""))</f>
      </c>
    </row>
    <row r="159">
      <c r="A159" t="inlineStr">
        <is>
          <t xml:space="preserve">a0_ask_153</t>
        </is>
      </c>
      <c r="B159" t="inlineStr">
        <is>
          <t xml:space="preserve">A0</t>
        </is>
      </c>
      <c r="C159" t="inlineStr">
        <is>
          <t xml:space="preserve">question</t>
        </is>
      </c>
      <c r="D159" t="inlineStr">
        <is>
          <t xml:space="preserve">A0-010</t>
        </is>
      </c>
      <c r="E159" s="3" t="inlineStr">
        <is>
          <t xml:space="preserve">how</t>
        </is>
      </c>
      <c r="F159" s="3" t="inlineStr">
        <is>
          <t xml:space="preserve">như thế nào</t>
        </is>
      </c>
      <c r="G159" t="inlineStr">
        <is>
          <t xml:space="preserve">/haʊ/</t>
        </is>
      </c>
      <c r="H159" s="3" t="inlineStr">
        <is>
          <t xml:space="preserve">How do you spell this?</t>
        </is>
      </c>
      <c r="I159" s="3" t="inlineStr">
        <is>
          <t xml:space="preserve">how are you, how much</t>
        </is>
      </c>
      <c r="J159" t="inlineStr">
        <is>
          <t xml:space="preserve">data/roadmap</t>
        </is>
      </c>
      <c r="K159" s="2">
        <v>46322</v>
      </c>
      <c r="L159">
        <f>IF($K159="","",IF($K159=TODAY(),COUNTIF($K$2:$K159,TODAY()),""))</f>
      </c>
    </row>
    <row r="160">
      <c r="A160" t="inlineStr">
        <is>
          <t xml:space="preserve">a0_ask_154</t>
        </is>
      </c>
      <c r="B160" t="inlineStr">
        <is>
          <t xml:space="preserve">A0</t>
        </is>
      </c>
      <c r="C160" t="inlineStr">
        <is>
          <t xml:space="preserve">question</t>
        </is>
      </c>
      <c r="D160" t="inlineStr">
        <is>
          <t xml:space="preserve">A0-010</t>
        </is>
      </c>
      <c r="E160" s="3" t="inlineStr">
        <is>
          <t xml:space="preserve">which</t>
        </is>
      </c>
      <c r="F160" s="3" t="inlineStr">
        <is>
          <t xml:space="preserve">cái nào</t>
        </is>
      </c>
      <c r="G160" t="inlineStr">
        <is>
          <t xml:space="preserve">/wɪtʃ/</t>
        </is>
      </c>
      <c r="H160" s="3" t="inlineStr">
        <is>
          <t xml:space="preserve">Which book is yours?</t>
        </is>
      </c>
      <c r="I160" s="3" t="inlineStr">
        <is>
          <t xml:space="preserve">which one</t>
        </is>
      </c>
      <c r="J160" t="inlineStr">
        <is>
          <t xml:space="preserve">data/roadmap</t>
        </is>
      </c>
      <c r="K160" s="2">
        <v>46322</v>
      </c>
      <c r="L160">
        <f>IF($K160="","",IF($K160=TODAY(),COUNTIF($K$2:$K160,TODAY()),""))</f>
      </c>
    </row>
    <row r="161">
      <c r="A161" t="inlineStr">
        <is>
          <t xml:space="preserve">a0_ask_155</t>
        </is>
      </c>
      <c r="B161" t="inlineStr">
        <is>
          <t xml:space="preserve">A0</t>
        </is>
      </c>
      <c r="C161" t="inlineStr">
        <is>
          <t xml:space="preserve">verb</t>
        </is>
      </c>
      <c r="D161" t="inlineStr">
        <is>
          <t xml:space="preserve">A0-010</t>
        </is>
      </c>
      <c r="E161" s="3" t="inlineStr">
        <is>
          <t xml:space="preserve">ask</t>
        </is>
      </c>
      <c r="F161" s="3" t="inlineStr">
        <is>
          <t xml:space="preserve">hỏi</t>
        </is>
      </c>
      <c r="G161" t="inlineStr">
        <is>
          <t xml:space="preserve">/æsk/</t>
        </is>
      </c>
      <c r="H161" s="3" t="inlineStr">
        <is>
          <t xml:space="preserve">I ask my teacher one question.</t>
        </is>
      </c>
      <c r="I161" s="3" t="inlineStr">
        <is>
          <t xml:space="preserve">ask a question</t>
        </is>
      </c>
      <c r="J161" t="inlineStr">
        <is>
          <t xml:space="preserve">data/roadmap</t>
        </is>
      </c>
      <c r="K161" s="2">
        <v>46322</v>
      </c>
      <c r="L161">
        <f>IF($K161="","",IF($K161=TODAY(),COUNTIF($K$2:$K161,TODAY()),""))</f>
      </c>
    </row>
    <row r="162">
      <c r="A162" t="inlineStr">
        <is>
          <t xml:space="preserve">a0_ask_156</t>
        </is>
      </c>
      <c r="B162" t="inlineStr">
        <is>
          <t xml:space="preserve">A0</t>
        </is>
      </c>
      <c r="C162" t="inlineStr">
        <is>
          <t xml:space="preserve">verb</t>
        </is>
      </c>
      <c r="D162" t="inlineStr">
        <is>
          <t xml:space="preserve">A0-010</t>
        </is>
      </c>
      <c r="E162" s="3" t="inlineStr">
        <is>
          <t xml:space="preserve">answer</t>
        </is>
      </c>
      <c r="F162" s="3" t="inlineStr">
        <is>
          <t xml:space="preserve">trả lời</t>
        </is>
      </c>
      <c r="G162" t="inlineStr">
        <is>
          <t xml:space="preserve">/ˈænsɚ/</t>
        </is>
      </c>
      <c r="H162" s="3" t="inlineStr">
        <is>
          <t xml:space="preserve">Please answer my question.</t>
        </is>
      </c>
      <c r="I162" s="3" t="inlineStr">
        <is>
          <t xml:space="preserve">answer the question</t>
        </is>
      </c>
      <c r="J162" t="inlineStr">
        <is>
          <t xml:space="preserve">data/roadmap</t>
        </is>
      </c>
      <c r="K162" s="2">
        <v>46323</v>
      </c>
      <c r="L162">
        <f>IF($K162="","",IF($K162=TODAY(),COUNTIF($K$2:$K162,TODAY()),""))</f>
      </c>
    </row>
    <row r="163">
      <c r="A163" t="inlineStr">
        <is>
          <t xml:space="preserve">a0_ask_157</t>
        </is>
      </c>
      <c r="B163" t="inlineStr">
        <is>
          <t xml:space="preserve">A0</t>
        </is>
      </c>
      <c r="C163" t="inlineStr">
        <is>
          <t xml:space="preserve">basic</t>
        </is>
      </c>
      <c r="D163" t="inlineStr">
        <is>
          <t xml:space="preserve">A0-010</t>
        </is>
      </c>
      <c r="E163" s="3" t="inlineStr">
        <is>
          <t xml:space="preserve">many</t>
        </is>
      </c>
      <c r="F163" s="3" t="inlineStr">
        <is>
          <t xml:space="preserve">nhiều (đếm được)</t>
        </is>
      </c>
      <c r="G163" t="inlineStr">
        <is>
          <t xml:space="preserve">/ˈmɛni/</t>
        </is>
      </c>
      <c r="H163" s="3" t="inlineStr">
        <is>
          <t xml:space="preserve">How many books do you have?</t>
        </is>
      </c>
      <c r="I163" s="3" t="inlineStr">
        <is>
          <t xml:space="preserve">many people</t>
        </is>
      </c>
      <c r="J163" t="inlineStr">
        <is>
          <t xml:space="preserve">data/roadmap</t>
        </is>
      </c>
      <c r="K163" s="2">
        <v>46323</v>
      </c>
      <c r="L163">
        <f>IF($K163="","",IF($K163=TODAY(),COUNTIF($K$2:$K163,TODAY()),""))</f>
      </c>
    </row>
    <row r="164">
      <c r="A164" t="inlineStr">
        <is>
          <t xml:space="preserve">a0_ask_158</t>
        </is>
      </c>
      <c r="B164" t="inlineStr">
        <is>
          <t xml:space="preserve">A0</t>
        </is>
      </c>
      <c r="C164" t="inlineStr">
        <is>
          <t xml:space="preserve">basic</t>
        </is>
      </c>
      <c r="D164" t="inlineStr">
        <is>
          <t xml:space="preserve">A0-010</t>
        </is>
      </c>
      <c r="E164" s="3" t="inlineStr">
        <is>
          <t xml:space="preserve">much</t>
        </is>
      </c>
      <c r="F164" s="3" t="inlineStr">
        <is>
          <t xml:space="preserve">nhiều (không đếm được)</t>
        </is>
      </c>
      <c r="G164" t="inlineStr">
        <is>
          <t xml:space="preserve">/mʌtʃ/</t>
        </is>
      </c>
      <c r="H164" s="3" t="inlineStr">
        <is>
          <t xml:space="preserve">How much water is in the cup?</t>
        </is>
      </c>
      <c r="I164" s="3" t="inlineStr">
        <is>
          <t xml:space="preserve">too much, how much</t>
        </is>
      </c>
      <c r="J164" t="inlineStr">
        <is>
          <t xml:space="preserve">data/roadmap</t>
        </is>
      </c>
      <c r="K164" s="2">
        <v>46323</v>
      </c>
      <c r="L164">
        <f>IF($K164="","",IF($K164=TODAY(),COUNTIF($K$2:$K164,TODAY()),""))</f>
      </c>
    </row>
    <row r="165">
      <c r="A165" t="inlineStr">
        <is>
          <t xml:space="preserve">a0_ask_159</t>
        </is>
      </c>
      <c r="B165" t="inlineStr">
        <is>
          <t xml:space="preserve">A0</t>
        </is>
      </c>
      <c r="C165" t="inlineStr">
        <is>
          <t xml:space="preserve">verb</t>
        </is>
      </c>
      <c r="D165" t="inlineStr">
        <is>
          <t xml:space="preserve">A0-010</t>
        </is>
      </c>
      <c r="E165" s="3" t="inlineStr">
        <is>
          <t xml:space="preserve">like</t>
        </is>
      </c>
      <c r="F165" s="3" t="inlineStr">
        <is>
          <t xml:space="preserve">thích</t>
        </is>
      </c>
      <c r="G165" t="inlineStr">
        <is>
          <t xml:space="preserve">/laɪk/</t>
        </is>
      </c>
      <c r="H165" s="3" t="inlineStr">
        <is>
          <t xml:space="preserve">I like rice and fish.</t>
        </is>
      </c>
      <c r="I165" s="3" t="inlineStr">
        <is>
          <t xml:space="preserve">I would like, look like</t>
        </is>
      </c>
      <c r="J165" t="inlineStr">
        <is>
          <t xml:space="preserve">data/roadmap</t>
        </is>
      </c>
      <c r="K165" s="2">
        <v>46323</v>
      </c>
      <c r="L165">
        <f>IF($K165="","",IF($K165=TODAY(),COUNTIF($K$2:$K165,TODAY()),""))</f>
      </c>
    </row>
    <row r="166">
      <c r="A166" t="inlineStr">
        <is>
          <t xml:space="preserve">a0_ask_160</t>
        </is>
      </c>
      <c r="B166" t="inlineStr">
        <is>
          <t xml:space="preserve">A0</t>
        </is>
      </c>
      <c r="C166" t="inlineStr">
        <is>
          <t xml:space="preserve">verb</t>
        </is>
      </c>
      <c r="D166" t="inlineStr">
        <is>
          <t xml:space="preserve">A0-010</t>
        </is>
      </c>
      <c r="E166" s="3" t="inlineStr">
        <is>
          <t xml:space="preserve">want</t>
        </is>
      </c>
      <c r="F166" s="3" t="inlineStr">
        <is>
          <t xml:space="preserve">muốn</t>
        </is>
      </c>
      <c r="G166" t="inlineStr">
        <is>
          <t xml:space="preserve">/wɑnt/</t>
        </is>
      </c>
      <c r="H166" s="3" t="inlineStr">
        <is>
          <t xml:space="preserve">I want a cup of tea.</t>
        </is>
      </c>
      <c r="I166" s="3" t="inlineStr">
        <is>
          <t xml:space="preserve">want to go</t>
        </is>
      </c>
      <c r="J166" t="inlineStr">
        <is>
          <t xml:space="preserve">data/roadmap</t>
        </is>
      </c>
      <c r="K166" s="2">
        <v>46323</v>
      </c>
      <c r="L166">
        <f>IF($K166="","",IF($K166=TODAY(),COUNTIF($K$2:$K166,TODAY()),""))</f>
      </c>
    </row>
    <row r="167">
      <c r="A167" t="inlineStr">
        <is>
          <t xml:space="preserve">a0_ask_161</t>
        </is>
      </c>
      <c r="B167" t="inlineStr">
        <is>
          <t xml:space="preserve">A0</t>
        </is>
      </c>
      <c r="C167" t="inlineStr">
        <is>
          <t xml:space="preserve">verb</t>
        </is>
      </c>
      <c r="D167" t="inlineStr">
        <is>
          <t xml:space="preserve">A0-010</t>
        </is>
      </c>
      <c r="E167" s="3" t="inlineStr">
        <is>
          <t xml:space="preserve">need</t>
        </is>
      </c>
      <c r="F167" s="3" t="inlineStr">
        <is>
          <t xml:space="preserve">cần</t>
        </is>
      </c>
      <c r="G167" t="inlineStr">
        <is>
          <t xml:space="preserve">/nid/</t>
        </is>
      </c>
      <c r="H167" s="3" t="inlineStr">
        <is>
          <t xml:space="preserve">I need a new pen.</t>
        </is>
      </c>
      <c r="I167" s="3" t="inlineStr">
        <is>
          <t xml:space="preserve">need to study</t>
        </is>
      </c>
      <c r="J167" t="inlineStr">
        <is>
          <t xml:space="preserve">data/roadmap</t>
        </is>
      </c>
      <c r="K167" s="2">
        <v>46323</v>
      </c>
      <c r="L167">
        <f>IF($K167="","",IF($K167=TODAY(),COUNTIF($K$2:$K167,TODAY()),""))</f>
      </c>
    </row>
    <row r="168">
      <c r="A168" t="inlineStr">
        <is>
          <t xml:space="preserve">a0_ask_162</t>
        </is>
      </c>
      <c r="B168" t="inlineStr">
        <is>
          <t xml:space="preserve">A0</t>
        </is>
      </c>
      <c r="C168" t="inlineStr">
        <is>
          <t xml:space="preserve">verb</t>
        </is>
      </c>
      <c r="D168" t="inlineStr">
        <is>
          <t xml:space="preserve">A0-010</t>
        </is>
      </c>
      <c r="E168" s="3" t="inlineStr">
        <is>
          <t xml:space="preserve">have</t>
        </is>
      </c>
      <c r="F168" s="3" t="inlineStr">
        <is>
          <t xml:space="preserve">có</t>
        </is>
      </c>
      <c r="G168" t="inlineStr">
        <is>
          <t xml:space="preserve">/hæv/</t>
        </is>
      </c>
      <c r="H168" s="3" t="inlineStr">
        <is>
          <t xml:space="preserve">I have two brothers.</t>
        </is>
      </c>
      <c r="I168" s="3" t="inlineStr">
        <is>
          <t xml:space="preserve">have breakfast, have to</t>
        </is>
      </c>
      <c r="J168" t="inlineStr">
        <is>
          <t xml:space="preserve">data/roadmap</t>
        </is>
      </c>
      <c r="K168" s="2">
        <v>46323</v>
      </c>
      <c r="L168">
        <f>IF($K168="","",IF($K168=TODAY(),COUNTIF($K$2:$K168,TODAY()),""))</f>
      </c>
    </row>
    <row r="169">
      <c r="A169" t="inlineStr">
        <is>
          <t xml:space="preserve">cur_v006</t>
        </is>
      </c>
      <c r="B169" t="inlineStr">
        <is>
          <t xml:space="preserve">A1</t>
        </is>
      </c>
      <c r="C169" t="inlineStr">
        <is>
          <t xml:space="preserve">routine</t>
        </is>
      </c>
      <c r="D169" t="inlineStr">
        <is>
          <t xml:space="preserve">A1-011</t>
        </is>
      </c>
      <c r="E169" s="3" t="inlineStr">
        <is>
          <t xml:space="preserve">usually</t>
        </is>
      </c>
      <c r="F169" s="3" t="inlineStr">
        <is>
          <t xml:space="preserve">thường thì</t>
        </is>
      </c>
      <c r="G169" t="inlineStr">
        <is>
          <t xml:space="preserve">/ˈjuːʒuəli/</t>
        </is>
      </c>
      <c r="H169" s="3" t="inlineStr">
        <is>
          <t xml:space="preserve">I usually study at night.</t>
        </is>
      </c>
      <c r="I169" s="3" t="inlineStr">
        <is>
          <t xml:space="preserve">usually do, not usually</t>
        </is>
      </c>
      <c r="J169" t="inlineStr">
        <is>
          <t xml:space="preserve">data/roadmap</t>
        </is>
      </c>
      <c r="K169" s="2">
        <v>46328</v>
      </c>
      <c r="L169">
        <f>IF($K169="","",IF($K169=TODAY(),COUNTIF($K$2:$K169,TODAY()),""))</f>
      </c>
    </row>
    <row r="170">
      <c r="A170" t="inlineStr">
        <is>
          <t xml:space="preserve">cur_v008</t>
        </is>
      </c>
      <c r="B170" t="inlineStr">
        <is>
          <t xml:space="preserve">A1</t>
        </is>
      </c>
      <c r="C170" t="inlineStr">
        <is>
          <t xml:space="preserve">food</t>
        </is>
      </c>
      <c r="D170" t="inlineStr">
        <is>
          <t xml:space="preserve">A1-016</t>
        </is>
      </c>
      <c r="E170" s="3" t="inlineStr">
        <is>
          <t xml:space="preserve">order</t>
        </is>
      </c>
      <c r="F170" s="3" t="inlineStr">
        <is>
          <t xml:space="preserve">gọi món / đơn hàng</t>
        </is>
      </c>
      <c r="G170" t="inlineStr">
        <is>
          <t xml:space="preserve">/ˈɔːrdər/</t>
        </is>
      </c>
      <c r="H170" s="3" t="inlineStr">
        <is>
          <t xml:space="preserve">I would like to order a coffee.</t>
        </is>
      </c>
      <c r="I170" s="3" t="inlineStr">
        <is>
          <t xml:space="preserve">place an order, order food</t>
        </is>
      </c>
      <c r="J170" t="inlineStr">
        <is>
          <t xml:space="preserve">data/roadmap</t>
        </is>
      </c>
      <c r="K170" s="2">
        <v>46328</v>
      </c>
      <c r="L170">
        <f>IF($K170="","",IF($K170=TODAY(),COUNTIF($K$2:$K170,TODAY()),""))</f>
      </c>
    </row>
    <row r="171">
      <c r="A171" t="inlineStr">
        <is>
          <t xml:space="preserve">cur_v009</t>
        </is>
      </c>
      <c r="B171" t="inlineStr">
        <is>
          <t xml:space="preserve">A1</t>
        </is>
      </c>
      <c r="C171" t="inlineStr">
        <is>
          <t xml:space="preserve">health</t>
        </is>
      </c>
      <c r="D171" t="inlineStr">
        <is>
          <t xml:space="preserve">A1-019</t>
        </is>
      </c>
      <c r="E171" s="3" t="inlineStr">
        <is>
          <t xml:space="preserve">healthy</t>
        </is>
      </c>
      <c r="F171" s="3" t="inlineStr">
        <is>
          <t xml:space="preserve">khỏe mạnh</t>
        </is>
      </c>
      <c r="G171" t="inlineStr">
        <is>
          <t xml:space="preserve">/ˈhelθi/</t>
        </is>
      </c>
      <c r="H171" s="3" t="inlineStr">
        <is>
          <t xml:space="preserve">Walking is a healthy habit.</t>
        </is>
      </c>
      <c r="I171" s="3" t="inlineStr">
        <is>
          <t xml:space="preserve">healthy food, healthy lifestyle</t>
        </is>
      </c>
      <c r="J171" t="inlineStr">
        <is>
          <t xml:space="preserve">data/roadmap</t>
        </is>
      </c>
      <c r="K171" s="2">
        <v>46328</v>
      </c>
      <c r="L171">
        <f>IF($K171="","",IF($K171=TODAY(),COUNTIF($K$2:$K171,TODAY()),""))</f>
      </c>
    </row>
    <row r="172">
      <c r="A172" t="inlineStr">
        <is>
          <t xml:space="preserve">a1_daily_001</t>
        </is>
      </c>
      <c r="B172" t="inlineStr">
        <is>
          <t xml:space="preserve">A1</t>
        </is>
      </c>
      <c r="C172" t="inlineStr">
        <is>
          <t xml:space="preserve">daily-life</t>
        </is>
      </c>
      <c r="D172" t="inlineStr">
        <is>
          <t xml:space="preserve">—</t>
        </is>
      </c>
      <c r="E172" s="3" t="inlineStr">
        <is>
          <t xml:space="preserve">breakfast</t>
        </is>
      </c>
      <c r="F172" s="3" t="inlineStr">
        <is>
          <t xml:space="preserve">bữa sáng</t>
        </is>
      </c>
      <c r="H172" s="3" t="inlineStr">
        <is>
          <t xml:space="preserve">I have breakfast at seven o'clock.</t>
        </is>
      </c>
      <c r="I172" s="3" t="inlineStr">
        <is>
          <t xml:space="preserve">have breakfast, breakfast time</t>
        </is>
      </c>
      <c r="J172" t="inlineStr">
        <is>
          <t xml:space="preserve">src/content/vocabulary/a1/daily-life.json</t>
        </is>
      </c>
      <c r="K172" s="2">
        <v>46328</v>
      </c>
      <c r="L172">
        <f>IF($K172="","",IF($K172=TODAY(),COUNTIF($K$2:$K172,TODAY()),""))</f>
      </c>
    </row>
    <row r="173">
      <c r="A173" t="inlineStr">
        <is>
          <t xml:space="preserve">a1_daily_002</t>
        </is>
      </c>
      <c r="B173" t="inlineStr">
        <is>
          <t xml:space="preserve">A1</t>
        </is>
      </c>
      <c r="C173" t="inlineStr">
        <is>
          <t xml:space="preserve">daily-life</t>
        </is>
      </c>
      <c r="D173" t="inlineStr">
        <is>
          <t xml:space="preserve">—</t>
        </is>
      </c>
      <c r="E173" s="3" t="inlineStr">
        <is>
          <t xml:space="preserve">window</t>
        </is>
      </c>
      <c r="F173" s="3" t="inlineStr">
        <is>
          <t xml:space="preserve">cửa sổ</t>
        </is>
      </c>
      <c r="H173" s="3" t="inlineStr">
        <is>
          <t xml:space="preserve">She opened the window to let in some air.</t>
        </is>
      </c>
      <c r="I173" s="3" t="inlineStr">
        <is>
          <t xml:space="preserve">open the window, by the window</t>
        </is>
      </c>
      <c r="J173" t="inlineStr">
        <is>
          <t xml:space="preserve">src/content/vocabulary/a1/daily-life.json</t>
        </is>
      </c>
      <c r="K173" s="2">
        <v>46328</v>
      </c>
      <c r="L173">
        <f>IF($K173="","",IF($K173=TODAY(),COUNTIF($K$2:$K173,TODAY()),""))</f>
      </c>
    </row>
    <row r="174">
      <c r="A174" t="inlineStr">
        <is>
          <t xml:space="preserve">a1_daily_003</t>
        </is>
      </c>
      <c r="B174" t="inlineStr">
        <is>
          <t xml:space="preserve">A1</t>
        </is>
      </c>
      <c r="C174" t="inlineStr">
        <is>
          <t xml:space="preserve">daily-life</t>
        </is>
      </c>
      <c r="D174" t="inlineStr">
        <is>
          <t xml:space="preserve">—</t>
        </is>
      </c>
      <c r="E174" s="3" t="inlineStr">
        <is>
          <t xml:space="preserve">mirror</t>
        </is>
      </c>
      <c r="F174" s="3" t="inlineStr">
        <is>
          <t xml:space="preserve">cái gương</t>
        </is>
      </c>
      <c r="H174" s="3" t="inlineStr">
        <is>
          <t xml:space="preserve">He looked at himself in the mirror.</t>
        </is>
      </c>
      <c r="I174" s="3" t="inlineStr">
        <is>
          <t xml:space="preserve">in the mirror, a full-length mirror</t>
        </is>
      </c>
      <c r="J174" t="inlineStr">
        <is>
          <t xml:space="preserve">src/content/vocabulary/a1/daily-life.json</t>
        </is>
      </c>
      <c r="K174" s="2">
        <v>46328</v>
      </c>
      <c r="L174">
        <f>IF($K174="","",IF($K174=TODAY(),COUNTIF($K$2:$K174,TODAY()),""))</f>
      </c>
    </row>
    <row r="175">
      <c r="A175" t="inlineStr">
        <is>
          <t xml:space="preserve">a1_daily_004</t>
        </is>
      </c>
      <c r="B175" t="inlineStr">
        <is>
          <t xml:space="preserve">A1</t>
        </is>
      </c>
      <c r="C175" t="inlineStr">
        <is>
          <t xml:space="preserve">daily-life</t>
        </is>
      </c>
      <c r="D175" t="inlineStr">
        <is>
          <t xml:space="preserve">—</t>
        </is>
      </c>
      <c r="E175" s="3" t="inlineStr">
        <is>
          <t xml:space="preserve">umbrella</t>
        </is>
      </c>
      <c r="F175" s="3" t="inlineStr">
        <is>
          <t xml:space="preserve">cái ô</t>
        </is>
      </c>
      <c r="H175" s="3" t="inlineStr">
        <is>
          <t xml:space="preserve">Take an umbrella — it might rain.</t>
        </is>
      </c>
      <c r="I175" s="3" t="inlineStr">
        <is>
          <t xml:space="preserve">open an umbrella, bring an umbrella</t>
        </is>
      </c>
      <c r="J175" t="inlineStr">
        <is>
          <t xml:space="preserve">src/content/vocabulary/a1/daily-life.json</t>
        </is>
      </c>
      <c r="K175" s="2">
        <v>46328</v>
      </c>
      <c r="L175">
        <f>IF($K175="","",IF($K175=TODAY(),COUNTIF($K$2:$K175,TODAY()),""))</f>
      </c>
    </row>
    <row r="176">
      <c r="A176" t="inlineStr">
        <is>
          <t xml:space="preserve">a1_daily_005</t>
        </is>
      </c>
      <c r="B176" t="inlineStr">
        <is>
          <t xml:space="preserve">A1</t>
        </is>
      </c>
      <c r="C176" t="inlineStr">
        <is>
          <t xml:space="preserve">daily-life</t>
        </is>
      </c>
      <c r="D176" t="inlineStr">
        <is>
          <t xml:space="preserve">—</t>
        </is>
      </c>
      <c r="E176" s="3" t="inlineStr">
        <is>
          <t xml:space="preserve">kitchen</t>
        </is>
      </c>
      <c r="F176" s="3" t="inlineStr">
        <is>
          <t xml:space="preserve">nhà bếp</t>
        </is>
      </c>
      <c r="H176" s="3" t="inlineStr">
        <is>
          <t xml:space="preserve">The keys are on the kitchen table.</t>
        </is>
      </c>
      <c r="I176" s="3" t="inlineStr">
        <is>
          <t xml:space="preserve">kitchen table, in the kitchen</t>
        </is>
      </c>
      <c r="J176" t="inlineStr">
        <is>
          <t xml:space="preserve">src/content/vocabulary/a1/daily-life.json</t>
        </is>
      </c>
      <c r="K176" s="2">
        <v>46328</v>
      </c>
      <c r="L176">
        <f>IF($K176="","",IF($K176=TODAY(),COUNTIF($K$2:$K176,TODAY()),""))</f>
      </c>
    </row>
    <row r="177">
      <c r="A177" t="inlineStr">
        <is>
          <t xml:space="preserve">a1_daily_006</t>
        </is>
      </c>
      <c r="B177" t="inlineStr">
        <is>
          <t xml:space="preserve">A1</t>
        </is>
      </c>
      <c r="C177" t="inlineStr">
        <is>
          <t xml:space="preserve">daily-life</t>
        </is>
      </c>
      <c r="D177" t="inlineStr">
        <is>
          <t xml:space="preserve">—</t>
        </is>
      </c>
      <c r="E177" s="3" t="inlineStr">
        <is>
          <t xml:space="preserve">bedroom</t>
        </is>
      </c>
      <c r="F177" s="3" t="inlineStr">
        <is>
          <t xml:space="preserve">phòng ngủ</t>
        </is>
      </c>
      <c r="H177" s="3" t="inlineStr">
        <is>
          <t xml:space="preserve">My bedroom is small but bright.</t>
        </is>
      </c>
      <c r="I177" s="3" t="inlineStr">
        <is>
          <t xml:space="preserve">master bedroom, go to the bedroom</t>
        </is>
      </c>
      <c r="J177" t="inlineStr">
        <is>
          <t xml:space="preserve">src/content/vocabulary/a1/daily-life.json</t>
        </is>
      </c>
      <c r="K177" s="2">
        <v>46328</v>
      </c>
      <c r="L177">
        <f>IF($K177="","",IF($K177=TODAY(),COUNTIF($K$2:$K177,TODAY()),""))</f>
      </c>
    </row>
    <row r="178">
      <c r="A178" t="inlineStr">
        <is>
          <t xml:space="preserve">a1_daily_007</t>
        </is>
      </c>
      <c r="B178" t="inlineStr">
        <is>
          <t xml:space="preserve">A1</t>
        </is>
      </c>
      <c r="C178" t="inlineStr">
        <is>
          <t xml:space="preserve">daily-life</t>
        </is>
      </c>
      <c r="D178" t="inlineStr">
        <is>
          <t xml:space="preserve">—</t>
        </is>
      </c>
      <c r="E178" s="3" t="inlineStr">
        <is>
          <t xml:space="preserve">wallet</t>
        </is>
      </c>
      <c r="F178" s="3" t="inlineStr">
        <is>
          <t xml:space="preserve">cái ví</t>
        </is>
      </c>
      <c r="H178" s="3" t="inlineStr">
        <is>
          <t xml:space="preserve">I left my wallet at home.</t>
        </is>
      </c>
      <c r="I178" s="3" t="inlineStr">
        <is>
          <t xml:space="preserve">lose your wallet, leather wallet</t>
        </is>
      </c>
      <c r="J178" t="inlineStr">
        <is>
          <t xml:space="preserve">src/content/vocabulary/a1/daily-life.json</t>
        </is>
      </c>
      <c r="K178" s="2">
        <v>46328</v>
      </c>
      <c r="L178">
        <f>IF($K178="","",IF($K178=TODAY(),COUNTIF($K$2:$K178,TODAY()),""))</f>
      </c>
    </row>
    <row r="179">
      <c r="A179" t="inlineStr">
        <is>
          <t xml:space="preserve">a1_daily_008</t>
        </is>
      </c>
      <c r="B179" t="inlineStr">
        <is>
          <t xml:space="preserve">A1</t>
        </is>
      </c>
      <c r="C179" t="inlineStr">
        <is>
          <t xml:space="preserve">daily-life</t>
        </is>
      </c>
      <c r="D179" t="inlineStr">
        <is>
          <t xml:space="preserve">—</t>
        </is>
      </c>
      <c r="E179" s="3" t="inlineStr">
        <is>
          <t xml:space="preserve">key</t>
        </is>
      </c>
      <c r="F179" s="3" t="inlineStr">
        <is>
          <t xml:space="preserve">chìa khoá</t>
        </is>
      </c>
      <c r="H179" s="3" t="inlineStr">
        <is>
          <t xml:space="preserve">Do you have a key for this door?</t>
        </is>
      </c>
      <c r="I179" s="3" t="inlineStr">
        <is>
          <t xml:space="preserve">car key, lose the key</t>
        </is>
      </c>
      <c r="J179" t="inlineStr">
        <is>
          <t xml:space="preserve">src/content/vocabulary/a1/daily-life.json</t>
        </is>
      </c>
      <c r="K179" s="2">
        <v>46329</v>
      </c>
      <c r="L179">
        <f>IF($K179="","",IF($K179=TODAY(),COUNTIF($K$2:$K179,TODAY()),""))</f>
      </c>
    </row>
    <row r="180">
      <c r="A180" t="inlineStr">
        <is>
          <t xml:space="preserve">a1_daily_009</t>
        </is>
      </c>
      <c r="B180" t="inlineStr">
        <is>
          <t xml:space="preserve">A1</t>
        </is>
      </c>
      <c r="C180" t="inlineStr">
        <is>
          <t xml:space="preserve">daily-life</t>
        </is>
      </c>
      <c r="D180" t="inlineStr">
        <is>
          <t xml:space="preserve">—</t>
        </is>
      </c>
      <c r="E180" s="3" t="inlineStr">
        <is>
          <t xml:space="preserve">bottle</t>
        </is>
      </c>
      <c r="F180" s="3" t="inlineStr">
        <is>
          <t xml:space="preserve">cái chai</t>
        </is>
      </c>
      <c r="H180" s="3" t="inlineStr">
        <is>
          <t xml:space="preserve">Drink a bottle of water every day.</t>
        </is>
      </c>
      <c r="I180" s="3" t="inlineStr">
        <is>
          <t xml:space="preserve">a bottle of water, glass bottle</t>
        </is>
      </c>
      <c r="J180" t="inlineStr">
        <is>
          <t xml:space="preserve">src/content/vocabulary/a1/daily-life.json</t>
        </is>
      </c>
      <c r="K180" s="2">
        <v>46329</v>
      </c>
      <c r="L180">
        <f>IF($K180="","",IF($K180=TODAY(),COUNTIF($K$2:$K180,TODAY()),""))</f>
      </c>
    </row>
    <row r="181">
      <c r="A181" t="inlineStr">
        <is>
          <t xml:space="preserve">a1_daily_010</t>
        </is>
      </c>
      <c r="B181" t="inlineStr">
        <is>
          <t xml:space="preserve">A1</t>
        </is>
      </c>
      <c r="C181" t="inlineStr">
        <is>
          <t xml:space="preserve">daily-life</t>
        </is>
      </c>
      <c r="D181" t="inlineStr">
        <is>
          <t xml:space="preserve">—</t>
        </is>
      </c>
      <c r="E181" s="3" t="inlineStr">
        <is>
          <t xml:space="preserve">routine</t>
        </is>
      </c>
      <c r="F181" s="3" t="inlineStr">
        <is>
          <t xml:space="preserve">thói quen hằng ngày</t>
        </is>
      </c>
      <c r="H181" s="3" t="inlineStr">
        <is>
          <t xml:space="preserve">Running is part of my morning routine.</t>
        </is>
      </c>
      <c r="I181" s="3" t="inlineStr">
        <is>
          <t xml:space="preserve">daily routine, morning routine</t>
        </is>
      </c>
      <c r="J181" t="inlineStr">
        <is>
          <t xml:space="preserve">src/content/vocabulary/a1/daily-life.json</t>
        </is>
      </c>
      <c r="K181" s="2">
        <v>46329</v>
      </c>
      <c r="L181">
        <f>IF($K181="","",IF($K181=TODAY(),COUNTIF($K$2:$K181,TODAY()),""))</f>
      </c>
    </row>
    <row r="182">
      <c r="A182" t="inlineStr">
        <is>
          <t xml:space="preserve">a1_daily_011</t>
        </is>
      </c>
      <c r="B182" t="inlineStr">
        <is>
          <t xml:space="preserve">A1</t>
        </is>
      </c>
      <c r="C182" t="inlineStr">
        <is>
          <t xml:space="preserve">daily-life</t>
        </is>
      </c>
      <c r="D182" t="inlineStr">
        <is>
          <t xml:space="preserve">—</t>
        </is>
      </c>
      <c r="E182" s="3" t="inlineStr">
        <is>
          <t xml:space="preserve">neighbour</t>
        </is>
      </c>
      <c r="F182" s="3" t="inlineStr">
        <is>
          <t xml:space="preserve">hàng xóm</t>
        </is>
      </c>
      <c r="H182" s="3" t="inlineStr">
        <is>
          <t xml:space="preserve">Our neighbour has a big brown dog.</t>
        </is>
      </c>
      <c r="I182" s="3" t="inlineStr">
        <is>
          <t xml:space="preserve">next-door neighbour, a friendly neighbour</t>
        </is>
      </c>
      <c r="J182" t="inlineStr">
        <is>
          <t xml:space="preserve">src/content/vocabulary/a1/daily-life.json</t>
        </is>
      </c>
      <c r="K182" s="2">
        <v>46329</v>
      </c>
      <c r="L182">
        <f>IF($K182="","",IF($K182=TODAY(),COUNTIF($K$2:$K182,TODAY()),""))</f>
      </c>
    </row>
    <row r="183">
      <c r="A183" t="inlineStr">
        <is>
          <t xml:space="preserve">a1_daily_012</t>
        </is>
      </c>
      <c r="B183" t="inlineStr">
        <is>
          <t xml:space="preserve">A1</t>
        </is>
      </c>
      <c r="C183" t="inlineStr">
        <is>
          <t xml:space="preserve">daily-life</t>
        </is>
      </c>
      <c r="D183" t="inlineStr">
        <is>
          <t xml:space="preserve">—</t>
        </is>
      </c>
      <c r="E183" s="3" t="inlineStr">
        <is>
          <t xml:space="preserve">laundry</t>
        </is>
      </c>
      <c r="F183" s="3" t="inlineStr">
        <is>
          <t xml:space="preserve">quần áo cần giặt</t>
        </is>
      </c>
      <c r="H183" s="3" t="inlineStr">
        <is>
          <t xml:space="preserve">I do the laundry every Sunday.</t>
        </is>
      </c>
      <c r="I183" s="3" t="inlineStr">
        <is>
          <t xml:space="preserve">do the laundry, a pile of laundry</t>
        </is>
      </c>
      <c r="J183" t="inlineStr">
        <is>
          <t xml:space="preserve">src/content/vocabulary/a1/daily-life.json</t>
        </is>
      </c>
      <c r="K183" s="2">
        <v>46329</v>
      </c>
      <c r="L183">
        <f>IF($K183="","",IF($K183=TODAY(),COUNTIF($K$2:$K183,TODAY()),""))</f>
      </c>
    </row>
    <row r="184">
      <c r="A184" t="inlineStr">
        <is>
          <t xml:space="preserve">a1_daily_013</t>
        </is>
      </c>
      <c r="B184" t="inlineStr">
        <is>
          <t xml:space="preserve">A1</t>
        </is>
      </c>
      <c r="C184" t="inlineStr">
        <is>
          <t xml:space="preserve">daily-life</t>
        </is>
      </c>
      <c r="D184" t="inlineStr">
        <is>
          <t xml:space="preserve">—</t>
        </is>
      </c>
      <c r="E184" s="3" t="inlineStr">
        <is>
          <t xml:space="preserve">grocery</t>
        </is>
      </c>
      <c r="F184" s="3" t="inlineStr">
        <is>
          <t xml:space="preserve">tiệm tạp hoá</t>
        </is>
      </c>
      <c r="H184" s="3" t="inlineStr">
        <is>
          <t xml:space="preserve">We buy milk at the grocery near us.</t>
        </is>
      </c>
      <c r="I184" s="3" t="inlineStr">
        <is>
          <t xml:space="preserve">grocery store, grocery shopping</t>
        </is>
      </c>
      <c r="J184" t="inlineStr">
        <is>
          <t xml:space="preserve">src/content/vocabulary/a1/daily-life.json</t>
        </is>
      </c>
      <c r="K184" s="2">
        <v>46329</v>
      </c>
      <c r="L184">
        <f>IF($K184="","",IF($K184=TODAY(),COUNTIF($K$2:$K184,TODAY()),""))</f>
      </c>
    </row>
    <row r="185">
      <c r="A185" t="inlineStr">
        <is>
          <t xml:space="preserve">a1_daily_014</t>
        </is>
      </c>
      <c r="B185" t="inlineStr">
        <is>
          <t xml:space="preserve">A1</t>
        </is>
      </c>
      <c r="C185" t="inlineStr">
        <is>
          <t xml:space="preserve">daily-life</t>
        </is>
      </c>
      <c r="D185" t="inlineStr">
        <is>
          <t xml:space="preserve">—</t>
        </is>
      </c>
      <c r="E185" s="3" t="inlineStr">
        <is>
          <t xml:space="preserve">schedule</t>
        </is>
      </c>
      <c r="F185" s="3" t="inlineStr">
        <is>
          <t xml:space="preserve">lịch trình</t>
        </is>
      </c>
      <c r="H185" s="3" t="inlineStr">
        <is>
          <t xml:space="preserve">My work schedule changes every week.</t>
        </is>
      </c>
      <c r="I185" s="3" t="inlineStr">
        <is>
          <t xml:space="preserve">busy schedule, on schedule</t>
        </is>
      </c>
      <c r="J185" t="inlineStr">
        <is>
          <t xml:space="preserve">src/content/vocabulary/a1/daily-life.json</t>
        </is>
      </c>
      <c r="K185" s="2">
        <v>46329</v>
      </c>
      <c r="L185">
        <f>IF($K185="","",IF($K185=TODAY(),COUNTIF($K$2:$K185,TODAY()),""))</f>
      </c>
    </row>
    <row r="186">
      <c r="A186" t="inlineStr">
        <is>
          <t xml:space="preserve">a1_travel_001</t>
        </is>
      </c>
      <c r="B186" t="inlineStr">
        <is>
          <t xml:space="preserve">A1</t>
        </is>
      </c>
      <c r="C186" t="inlineStr">
        <is>
          <t xml:space="preserve">travel</t>
        </is>
      </c>
      <c r="D186" t="inlineStr">
        <is>
          <t xml:space="preserve">—</t>
        </is>
      </c>
      <c r="E186" s="3" t="inlineStr">
        <is>
          <t xml:space="preserve">ticket</t>
        </is>
      </c>
      <c r="F186" s="3" t="inlineStr">
        <is>
          <t xml:space="preserve">vé</t>
        </is>
      </c>
      <c r="H186" s="3" t="inlineStr">
        <is>
          <t xml:space="preserve">I bought a ticket for the night train.</t>
        </is>
      </c>
      <c r="I186" s="3" t="inlineStr">
        <is>
          <t xml:space="preserve">plane ticket, book a ticket</t>
        </is>
      </c>
      <c r="J186" t="inlineStr">
        <is>
          <t xml:space="preserve">src/content/vocabulary/a1/travel.json</t>
        </is>
      </c>
      <c r="K186" s="2">
        <v>46329</v>
      </c>
      <c r="L186">
        <f>IF($K186="","",IF($K186=TODAY(),COUNTIF($K$2:$K186,TODAY()),""))</f>
      </c>
    </row>
    <row r="187">
      <c r="A187" t="inlineStr">
        <is>
          <t xml:space="preserve">a1_travel_002</t>
        </is>
      </c>
      <c r="B187" t="inlineStr">
        <is>
          <t xml:space="preserve">A1</t>
        </is>
      </c>
      <c r="C187" t="inlineStr">
        <is>
          <t xml:space="preserve">travel</t>
        </is>
      </c>
      <c r="D187" t="inlineStr">
        <is>
          <t xml:space="preserve">—</t>
        </is>
      </c>
      <c r="E187" s="3" t="inlineStr">
        <is>
          <t xml:space="preserve">passport</t>
        </is>
      </c>
      <c r="F187" s="3" t="inlineStr">
        <is>
          <t xml:space="preserve">hộ chiếu</t>
        </is>
      </c>
      <c r="H187" s="3" t="inlineStr">
        <is>
          <t xml:space="preserve">Show me your passport, please.</t>
        </is>
      </c>
      <c r="I187" s="3" t="inlineStr">
        <is>
          <t xml:space="preserve">renew your passport, passport control</t>
        </is>
      </c>
      <c r="J187" t="inlineStr">
        <is>
          <t xml:space="preserve">src/content/vocabulary/a1/travel.json</t>
        </is>
      </c>
      <c r="K187" s="2">
        <v>46329</v>
      </c>
      <c r="L187">
        <f>IF($K187="","",IF($K187=TODAY(),COUNTIF($K$2:$K187,TODAY()),""))</f>
      </c>
    </row>
    <row r="188">
      <c r="A188" t="inlineStr">
        <is>
          <t xml:space="preserve">a1_travel_003</t>
        </is>
      </c>
      <c r="B188" t="inlineStr">
        <is>
          <t xml:space="preserve">A1</t>
        </is>
      </c>
      <c r="C188" t="inlineStr">
        <is>
          <t xml:space="preserve">travel</t>
        </is>
      </c>
      <c r="D188" t="inlineStr">
        <is>
          <t xml:space="preserve">—</t>
        </is>
      </c>
      <c r="E188" s="3" t="inlineStr">
        <is>
          <t xml:space="preserve">luggage</t>
        </is>
      </c>
      <c r="F188" s="3" t="inlineStr">
        <is>
          <t xml:space="preserve">hành lý</t>
        </is>
      </c>
      <c r="H188" s="3" t="inlineStr">
        <is>
          <t xml:space="preserve">Our luggage went to the wrong city.</t>
        </is>
      </c>
      <c r="I188" s="3" t="inlineStr">
        <is>
          <t xml:space="preserve">leave your luggage, luggage room</t>
        </is>
      </c>
      <c r="J188" t="inlineStr">
        <is>
          <t xml:space="preserve">src/content/vocabulary/a1/travel.json</t>
        </is>
      </c>
      <c r="K188" s="2">
        <v>46329</v>
      </c>
      <c r="L188">
        <f>IF($K188="","",IF($K188=TODAY(),COUNTIF($K$2:$K188,TODAY()),""))</f>
      </c>
    </row>
    <row r="189">
      <c r="A189" t="inlineStr">
        <is>
          <t xml:space="preserve">a1_travel_004</t>
        </is>
      </c>
      <c r="B189" t="inlineStr">
        <is>
          <t xml:space="preserve">A1</t>
        </is>
      </c>
      <c r="C189" t="inlineStr">
        <is>
          <t xml:space="preserve">travel</t>
        </is>
      </c>
      <c r="D189" t="inlineStr">
        <is>
          <t xml:space="preserve">—</t>
        </is>
      </c>
      <c r="E189" s="3" t="inlineStr">
        <is>
          <t xml:space="preserve">airport</t>
        </is>
      </c>
      <c r="F189" s="3" t="inlineStr">
        <is>
          <t xml:space="preserve">sân bay</t>
        </is>
      </c>
      <c r="H189" s="3" t="inlineStr">
        <is>
          <t xml:space="preserve">The bus to the airport leaves at six.</t>
        </is>
      </c>
      <c r="I189" s="3" t="inlineStr">
        <is>
          <t xml:space="preserve">airport shuttle, arrive at the airport</t>
        </is>
      </c>
      <c r="J189" t="inlineStr">
        <is>
          <t xml:space="preserve">src/content/vocabulary/a1/travel.json</t>
        </is>
      </c>
      <c r="K189" s="2">
        <v>46330</v>
      </c>
      <c r="L189">
        <f>IF($K189="","",IF($K189=TODAY(),COUNTIF($K$2:$K189,TODAY()),""))</f>
      </c>
    </row>
    <row r="190">
      <c r="A190" t="inlineStr">
        <is>
          <t xml:space="preserve">a1_travel_005</t>
        </is>
      </c>
      <c r="B190" t="inlineStr">
        <is>
          <t xml:space="preserve">A1</t>
        </is>
      </c>
      <c r="C190" t="inlineStr">
        <is>
          <t xml:space="preserve">travel</t>
        </is>
      </c>
      <c r="D190" t="inlineStr">
        <is>
          <t xml:space="preserve">—</t>
        </is>
      </c>
      <c r="E190" s="3" t="inlineStr">
        <is>
          <t xml:space="preserve">hotel</t>
        </is>
      </c>
      <c r="F190" s="3" t="inlineStr">
        <is>
          <t xml:space="preserve">khách sạn</t>
        </is>
      </c>
      <c r="H190" s="3" t="inlineStr">
        <is>
          <t xml:space="preserve">We stayed in a small hotel by the sea.</t>
        </is>
      </c>
      <c r="I190" s="3" t="inlineStr">
        <is>
          <t xml:space="preserve">book a hotel, hotel room</t>
        </is>
      </c>
      <c r="J190" t="inlineStr">
        <is>
          <t xml:space="preserve">src/content/vocabulary/a1/travel.json</t>
        </is>
      </c>
      <c r="K190" s="2">
        <v>46330</v>
      </c>
      <c r="L190">
        <f>IF($K190="","",IF($K190=TODAY(),COUNTIF($K$2:$K190,TODAY()),""))</f>
      </c>
    </row>
    <row r="191">
      <c r="A191" t="inlineStr">
        <is>
          <t xml:space="preserve">a1_travel_006</t>
        </is>
      </c>
      <c r="B191" t="inlineStr">
        <is>
          <t xml:space="preserve">A1</t>
        </is>
      </c>
      <c r="C191" t="inlineStr">
        <is>
          <t xml:space="preserve">travel</t>
        </is>
      </c>
      <c r="D191" t="inlineStr">
        <is>
          <t xml:space="preserve">—</t>
        </is>
      </c>
      <c r="E191" s="3" t="inlineStr">
        <is>
          <t xml:space="preserve">map</t>
        </is>
      </c>
      <c r="F191" s="3" t="inlineStr">
        <is>
          <t xml:space="preserve">bản đồ</t>
        </is>
      </c>
      <c r="H191" s="3" t="inlineStr">
        <is>
          <t xml:space="preserve">We got lost because we had no map.</t>
        </is>
      </c>
      <c r="I191" s="3" t="inlineStr">
        <is>
          <t xml:space="preserve">city map, on the map</t>
        </is>
      </c>
      <c r="J191" t="inlineStr">
        <is>
          <t xml:space="preserve">src/content/vocabulary/a1/travel.json</t>
        </is>
      </c>
      <c r="K191" s="2">
        <v>46330</v>
      </c>
      <c r="L191">
        <f>IF($K191="","",IF($K191=TODAY(),COUNTIF($K$2:$K191,TODAY()),""))</f>
      </c>
    </row>
    <row r="192">
      <c r="A192" t="inlineStr">
        <is>
          <t xml:space="preserve">a1_travel_007</t>
        </is>
      </c>
      <c r="B192" t="inlineStr">
        <is>
          <t xml:space="preserve">A1</t>
        </is>
      </c>
      <c r="C192" t="inlineStr">
        <is>
          <t xml:space="preserve">travel</t>
        </is>
      </c>
      <c r="D192" t="inlineStr">
        <is>
          <t xml:space="preserve">—</t>
        </is>
      </c>
      <c r="E192" s="3" t="inlineStr">
        <is>
          <t xml:space="preserve">address</t>
        </is>
      </c>
      <c r="F192" s="3" t="inlineStr">
        <is>
          <t xml:space="preserve">địa chỉ</t>
        </is>
      </c>
      <c r="H192" s="3" t="inlineStr">
        <is>
          <t xml:space="preserve">Can you write down the hotel address?</t>
        </is>
      </c>
      <c r="I192" s="3" t="inlineStr">
        <is>
          <t xml:space="preserve">home address, email address</t>
        </is>
      </c>
      <c r="J192" t="inlineStr">
        <is>
          <t xml:space="preserve">src/content/vocabulary/a1/travel.json</t>
        </is>
      </c>
      <c r="K192" s="2">
        <v>46330</v>
      </c>
      <c r="L192">
        <f>IF($K192="","",IF($K192=TODAY(),COUNTIF($K$2:$K192,TODAY()),""))</f>
      </c>
    </row>
    <row r="193">
      <c r="A193" t="inlineStr">
        <is>
          <t xml:space="preserve">a1_travel_008</t>
        </is>
      </c>
      <c r="B193" t="inlineStr">
        <is>
          <t xml:space="preserve">A1</t>
        </is>
      </c>
      <c r="C193" t="inlineStr">
        <is>
          <t xml:space="preserve">travel</t>
        </is>
      </c>
      <c r="D193" t="inlineStr">
        <is>
          <t xml:space="preserve">—</t>
        </is>
      </c>
      <c r="E193" s="3" t="inlineStr">
        <is>
          <t xml:space="preserve">suitcase</t>
        </is>
      </c>
      <c r="F193" s="3" t="inlineStr">
        <is>
          <t xml:space="preserve">va-li</t>
        </is>
      </c>
      <c r="H193" s="3" t="inlineStr">
        <is>
          <t xml:space="preserve">My suitcase is too heavy to carry.</t>
        </is>
      </c>
      <c r="I193" s="3" t="inlineStr">
        <is>
          <t xml:space="preserve">pack a suitcase, wheelie suitcase</t>
        </is>
      </c>
      <c r="J193" t="inlineStr">
        <is>
          <t xml:space="preserve">src/content/vocabulary/a1/travel.json</t>
        </is>
      </c>
      <c r="K193" s="2">
        <v>46330</v>
      </c>
      <c r="L193">
        <f>IF($K193="","",IF($K193=TODAY(),COUNTIF($K$2:$K193,TODAY()),""))</f>
      </c>
    </row>
    <row r="194">
      <c r="A194" t="inlineStr">
        <is>
          <t xml:space="preserve">a1_travel_009</t>
        </is>
      </c>
      <c r="B194" t="inlineStr">
        <is>
          <t xml:space="preserve">A1</t>
        </is>
      </c>
      <c r="C194" t="inlineStr">
        <is>
          <t xml:space="preserve">travel</t>
        </is>
      </c>
      <c r="D194" t="inlineStr">
        <is>
          <t xml:space="preserve">—</t>
        </is>
      </c>
      <c r="E194" s="3" t="inlineStr">
        <is>
          <t xml:space="preserve">departure</t>
        </is>
      </c>
      <c r="F194" s="3" t="inlineStr">
        <is>
          <t xml:space="preserve">giờ khởi hành</t>
        </is>
      </c>
      <c r="H194" s="3" t="inlineStr">
        <is>
          <t xml:space="preserve">The departure time changed twice.</t>
        </is>
      </c>
      <c r="I194" s="3" t="inlineStr">
        <is>
          <t xml:space="preserve">departure gate, time of departure</t>
        </is>
      </c>
      <c r="J194" t="inlineStr">
        <is>
          <t xml:space="preserve">src/content/vocabulary/a1/travel.json</t>
        </is>
      </c>
      <c r="K194" s="2">
        <v>46330</v>
      </c>
      <c r="L194">
        <f>IF($K194="","",IF($K194=TODAY(),COUNTIF($K$2:$K194,TODAY()),""))</f>
      </c>
    </row>
    <row r="195">
      <c r="A195" t="inlineStr">
        <is>
          <t xml:space="preserve">a1_travel_010</t>
        </is>
      </c>
      <c r="B195" t="inlineStr">
        <is>
          <t xml:space="preserve">A1</t>
        </is>
      </c>
      <c r="C195" t="inlineStr">
        <is>
          <t xml:space="preserve">travel</t>
        </is>
      </c>
      <c r="D195" t="inlineStr">
        <is>
          <t xml:space="preserve">—</t>
        </is>
      </c>
      <c r="E195" s="3" t="inlineStr">
        <is>
          <t xml:space="preserve">arrival</t>
        </is>
      </c>
      <c r="F195" s="3" t="inlineStr">
        <is>
          <t xml:space="preserve">sự đến nơi</t>
        </is>
      </c>
      <c r="H195" s="3" t="inlineStr">
        <is>
          <t xml:space="preserve">We waited at the arrival gate for an hour.</t>
        </is>
      </c>
      <c r="I195" s="3" t="inlineStr">
        <is>
          <t xml:space="preserve">arrival time, on arrival</t>
        </is>
      </c>
      <c r="J195" t="inlineStr">
        <is>
          <t xml:space="preserve">src/content/vocabulary/a1/travel.json</t>
        </is>
      </c>
      <c r="K195" s="2">
        <v>46330</v>
      </c>
      <c r="L195">
        <f>IF($K195="","",IF($K195=TODAY(),COUNTIF($K$2:$K195,TODAY()),""))</f>
      </c>
    </row>
    <row r="196">
      <c r="A196" t="inlineStr">
        <is>
          <t xml:space="preserve">a1_travel_011</t>
        </is>
      </c>
      <c r="B196" t="inlineStr">
        <is>
          <t xml:space="preserve">A1</t>
        </is>
      </c>
      <c r="C196" t="inlineStr">
        <is>
          <t xml:space="preserve">travel</t>
        </is>
      </c>
      <c r="D196" t="inlineStr">
        <is>
          <t xml:space="preserve">—</t>
        </is>
      </c>
      <c r="E196" s="3" t="inlineStr">
        <is>
          <t xml:space="preserve">journey</t>
        </is>
      </c>
      <c r="F196" s="3" t="inlineStr">
        <is>
          <t xml:space="preserve">chuyến đi</t>
        </is>
      </c>
      <c r="H196" s="3" t="inlineStr">
        <is>
          <t xml:space="preserve">The journey to Da Nang took five hours.</t>
        </is>
      </c>
      <c r="I196" s="3" t="inlineStr">
        <is>
          <t xml:space="preserve">a long journey, safe journey</t>
        </is>
      </c>
      <c r="J196" t="inlineStr">
        <is>
          <t xml:space="preserve">src/content/vocabulary/a1/travel.json</t>
        </is>
      </c>
      <c r="K196" s="2">
        <v>46330</v>
      </c>
      <c r="L196">
        <f>IF($K196="","",IF($K196=TODAY(),COUNTIF($K$2:$K196,TODAY()),""))</f>
      </c>
    </row>
    <row r="197">
      <c r="A197" t="inlineStr">
        <is>
          <t xml:space="preserve">a1_travel_012</t>
        </is>
      </c>
      <c r="B197" t="inlineStr">
        <is>
          <t xml:space="preserve">A1</t>
        </is>
      </c>
      <c r="C197" t="inlineStr">
        <is>
          <t xml:space="preserve">travel</t>
        </is>
      </c>
      <c r="D197" t="inlineStr">
        <is>
          <t xml:space="preserve">—</t>
        </is>
      </c>
      <c r="E197" s="3" t="inlineStr">
        <is>
          <t xml:space="preserve">reservation</t>
        </is>
      </c>
      <c r="F197" s="3" t="inlineStr">
        <is>
          <t xml:space="preserve">sự đặt chỗ trước</t>
        </is>
      </c>
      <c r="H197" s="3" t="inlineStr">
        <is>
          <t xml:space="preserve">I have a reservation for two people.</t>
        </is>
      </c>
      <c r="I197" s="3" t="inlineStr">
        <is>
          <t xml:space="preserve">make a reservation, cancel a reservation</t>
        </is>
      </c>
      <c r="J197" t="inlineStr">
        <is>
          <t xml:space="preserve">src/content/vocabulary/a1/travel.json</t>
        </is>
      </c>
      <c r="K197" s="2">
        <v>46330</v>
      </c>
      <c r="L197">
        <f>IF($K197="","",IF($K197=TODAY(),COUNTIF($K$2:$K197,TODAY()),""))</f>
      </c>
    </row>
    <row r="198">
      <c r="A198" t="inlineStr">
        <is>
          <t xml:space="preserve">cur_v011</t>
        </is>
      </c>
      <c r="B198" t="inlineStr">
        <is>
          <t xml:space="preserve">A2</t>
        </is>
      </c>
      <c r="C198" t="inlineStr">
        <is>
          <t xml:space="preserve">work-study</t>
        </is>
      </c>
      <c r="D198" t="inlineStr">
        <is>
          <t xml:space="preserve">A2-027</t>
        </is>
      </c>
      <c r="E198" s="3" t="inlineStr">
        <is>
          <t xml:space="preserve">improve</t>
        </is>
      </c>
      <c r="F198" s="3" t="inlineStr">
        <is>
          <t xml:space="preserve">cải thiện</t>
        </is>
      </c>
      <c r="G198" t="inlineStr">
        <is>
          <t xml:space="preserve">/ɪmˈpruːv/</t>
        </is>
      </c>
      <c r="H198" s="3" t="inlineStr">
        <is>
          <t xml:space="preserve">I want to improve my English.</t>
        </is>
      </c>
      <c r="I198" s="3" t="inlineStr">
        <is>
          <t xml:space="preserve">improve skills</t>
        </is>
      </c>
      <c r="J198" t="inlineStr">
        <is>
          <t xml:space="preserve">data/roadmap</t>
        </is>
      </c>
      <c r="K198" s="2">
        <v>46370</v>
      </c>
      <c r="L198">
        <f>IF($K198="","",IF($K198=TODAY(),COUNTIF($K$2:$K198,TODAY()),""))</f>
      </c>
    </row>
    <row r="199">
      <c r="A199" t="inlineStr">
        <is>
          <t xml:space="preserve">cur_v012</t>
        </is>
      </c>
      <c r="B199" t="inlineStr">
        <is>
          <t xml:space="preserve">A2</t>
        </is>
      </c>
      <c r="C199" t="inlineStr">
        <is>
          <t xml:space="preserve">technology</t>
        </is>
      </c>
      <c r="D199" t="inlineStr">
        <is>
          <t xml:space="preserve">A2-028</t>
        </is>
      </c>
      <c r="E199" s="3" t="inlineStr">
        <is>
          <t xml:space="preserve">device</t>
        </is>
      </c>
      <c r="F199" s="3" t="inlineStr">
        <is>
          <t xml:space="preserve">thiết bị</t>
        </is>
      </c>
      <c r="G199" t="inlineStr">
        <is>
          <t xml:space="preserve">/dɪˈvaɪs/</t>
        </is>
      </c>
      <c r="H199" s="3" t="inlineStr">
        <is>
          <t xml:space="preserve">This device is easy to use.</t>
        </is>
      </c>
      <c r="I199" s="3" t="inlineStr">
        <is>
          <t xml:space="preserve">mobile device</t>
        </is>
      </c>
      <c r="J199" t="inlineStr">
        <is>
          <t xml:space="preserve">data/roadmap</t>
        </is>
      </c>
      <c r="K199" s="2">
        <v>46370</v>
      </c>
      <c r="L199">
        <f>IF($K199="","",IF($K199=TODAY(),COUNTIF($K$2:$K199,TODAY()),""))</f>
      </c>
    </row>
    <row r="200">
      <c r="A200" t="inlineStr">
        <is>
          <t xml:space="preserve">a2_act_001</t>
        </is>
      </c>
      <c r="B200" t="inlineStr">
        <is>
          <t xml:space="preserve">A2</t>
        </is>
      </c>
      <c r="C200" t="inlineStr">
        <is>
          <t xml:space="preserve">daily-activities</t>
        </is>
      </c>
      <c r="D200" t="inlineStr">
        <is>
          <t xml:space="preserve">—</t>
        </is>
      </c>
      <c r="E200" s="3" t="inlineStr">
        <is>
          <t xml:space="preserve">exercise</t>
        </is>
      </c>
      <c r="F200" s="3" t="inlineStr">
        <is>
          <t xml:space="preserve">tập thể dục</t>
        </is>
      </c>
      <c r="H200" s="3" t="inlineStr">
        <is>
          <t xml:space="preserve">I do exercise three times a week.</t>
        </is>
      </c>
      <c r="I200" s="3" t="inlineStr">
        <is>
          <t xml:space="preserve">get exercise, do exercise</t>
        </is>
      </c>
      <c r="J200" t="inlineStr">
        <is>
          <t xml:space="preserve">src/content/vocabulary/a2/daily-activities.json</t>
        </is>
      </c>
      <c r="K200" s="2">
        <v>46370</v>
      </c>
      <c r="L200">
        <f>IF($K200="","",IF($K200=TODAY(),COUNTIF($K$2:$K200,TODAY()),""))</f>
      </c>
    </row>
    <row r="201">
      <c r="A201" t="inlineStr">
        <is>
          <t xml:space="preserve">a2_act_002</t>
        </is>
      </c>
      <c r="B201" t="inlineStr">
        <is>
          <t xml:space="preserve">A2</t>
        </is>
      </c>
      <c r="C201" t="inlineStr">
        <is>
          <t xml:space="preserve">daily-activities</t>
        </is>
      </c>
      <c r="D201" t="inlineStr">
        <is>
          <t xml:space="preserve">—</t>
        </is>
      </c>
      <c r="E201" s="3" t="inlineStr">
        <is>
          <t xml:space="preserve">housework</t>
        </is>
      </c>
      <c r="F201" s="3" t="inlineStr">
        <is>
          <t xml:space="preserve">việc nhà</t>
        </is>
      </c>
      <c r="H201" s="3" t="inlineStr">
        <is>
          <t xml:space="preserve">We share the housework every evening.</t>
        </is>
      </c>
      <c r="I201" s="3" t="inlineStr">
        <is>
          <t xml:space="preserve">do housework, a day of housework</t>
        </is>
      </c>
      <c r="J201" t="inlineStr">
        <is>
          <t xml:space="preserve">src/content/vocabulary/a2/daily-activities.json</t>
        </is>
      </c>
      <c r="K201" s="2">
        <v>46370</v>
      </c>
      <c r="L201">
        <f>IF($K201="","",IF($K201=TODAY(),COUNTIF($K$2:$K201,TODAY()),""))</f>
      </c>
    </row>
    <row r="202">
      <c r="A202" t="inlineStr">
        <is>
          <t xml:space="preserve">a2_act_003</t>
        </is>
      </c>
      <c r="B202" t="inlineStr">
        <is>
          <t xml:space="preserve">A2</t>
        </is>
      </c>
      <c r="C202" t="inlineStr">
        <is>
          <t xml:space="preserve">daily-activities</t>
        </is>
      </c>
      <c r="D202" t="inlineStr">
        <is>
          <t xml:space="preserve">—</t>
        </is>
      </c>
      <c r="E202" s="3" t="inlineStr">
        <is>
          <t xml:space="preserve">homework</t>
        </is>
      </c>
      <c r="F202" s="3" t="inlineStr">
        <is>
          <t xml:space="preserve">bài tập về nhà</t>
        </is>
      </c>
      <c r="H202" s="3" t="inlineStr">
        <is>
          <t xml:space="preserve">She finished her homework before dinner.</t>
        </is>
      </c>
      <c r="I202" s="3" t="inlineStr">
        <is>
          <t xml:space="preserve">do homework, a lot of homework</t>
        </is>
      </c>
      <c r="J202" t="inlineStr">
        <is>
          <t xml:space="preserve">src/content/vocabulary/a2/daily-activities.json</t>
        </is>
      </c>
      <c r="K202" s="2">
        <v>46370</v>
      </c>
      <c r="L202">
        <f>IF($K202="","",IF($K202=TODAY(),COUNTIF($K$2:$K202,TODAY()),""))</f>
      </c>
    </row>
    <row r="203">
      <c r="A203" t="inlineStr">
        <is>
          <t xml:space="preserve">a2_act_004</t>
        </is>
      </c>
      <c r="B203" t="inlineStr">
        <is>
          <t xml:space="preserve">A2</t>
        </is>
      </c>
      <c r="C203" t="inlineStr">
        <is>
          <t xml:space="preserve">daily-activities</t>
        </is>
      </c>
      <c r="D203" t="inlineStr">
        <is>
          <t xml:space="preserve">—</t>
        </is>
      </c>
      <c r="E203" s="3" t="inlineStr">
        <is>
          <t xml:space="preserve">weekend</t>
        </is>
      </c>
      <c r="F203" s="3" t="inlineStr">
        <is>
          <t xml:space="preserve">cuối tuần</t>
        </is>
      </c>
      <c r="H203" s="3" t="inlineStr">
        <is>
          <t xml:space="preserve">What are you doing this weekend?</t>
        </is>
      </c>
      <c r="I203" s="3" t="inlineStr">
        <is>
          <t xml:space="preserve">at the weekend, long weekend</t>
        </is>
      </c>
      <c r="J203" t="inlineStr">
        <is>
          <t xml:space="preserve">src/content/vocabulary/a2/daily-activities.json</t>
        </is>
      </c>
      <c r="K203" s="2">
        <v>46370</v>
      </c>
      <c r="L203">
        <f>IF($K203="","",IF($K203=TODAY(),COUNTIF($K$2:$K203,TODAY()),""))</f>
      </c>
    </row>
    <row r="204">
      <c r="A204" t="inlineStr">
        <is>
          <t xml:space="preserve">a2_act_005</t>
        </is>
      </c>
      <c r="B204" t="inlineStr">
        <is>
          <t xml:space="preserve">A2</t>
        </is>
      </c>
      <c r="C204" t="inlineStr">
        <is>
          <t xml:space="preserve">daily-activities</t>
        </is>
      </c>
      <c r="D204" t="inlineStr">
        <is>
          <t xml:space="preserve">—</t>
        </is>
      </c>
      <c r="E204" s="3" t="inlineStr">
        <is>
          <t xml:space="preserve">holiday</t>
        </is>
      </c>
      <c r="F204" s="3" t="inlineStr">
        <is>
          <t xml:space="preserve">kỳ nghỉ</t>
        </is>
      </c>
      <c r="H204" s="3" t="inlineStr">
        <is>
          <t xml:space="preserve">They are on holiday in Nha Trang.</t>
        </is>
      </c>
      <c r="I204" s="3" t="inlineStr">
        <is>
          <t xml:space="preserve">go on holiday, summer holiday</t>
        </is>
      </c>
      <c r="J204" t="inlineStr">
        <is>
          <t xml:space="preserve">src/content/vocabulary/a2/daily-activities.json</t>
        </is>
      </c>
      <c r="K204" s="2">
        <v>46370</v>
      </c>
      <c r="L204">
        <f>IF($K204="","",IF($K204=TODAY(),COUNTIF($K$2:$K204,TODAY()),""))</f>
      </c>
    </row>
    <row r="205">
      <c r="A205" t="inlineStr">
        <is>
          <t xml:space="preserve">a2_act_006</t>
        </is>
      </c>
      <c r="B205" t="inlineStr">
        <is>
          <t xml:space="preserve">A2</t>
        </is>
      </c>
      <c r="C205" t="inlineStr">
        <is>
          <t xml:space="preserve">daily-activities</t>
        </is>
      </c>
      <c r="D205" t="inlineStr">
        <is>
          <t xml:space="preserve">—</t>
        </is>
      </c>
      <c r="E205" s="3" t="inlineStr">
        <is>
          <t xml:space="preserve">birthday</t>
        </is>
      </c>
      <c r="F205" s="3" t="inlineStr">
        <is>
          <t xml:space="preserve">sinh nhật</t>
        </is>
      </c>
      <c r="H205" s="3" t="inlineStr">
        <is>
          <t xml:space="preserve">His birthday is next Monday.</t>
        </is>
      </c>
      <c r="I205" s="3" t="inlineStr">
        <is>
          <t xml:space="preserve">birthday party, happy birthday</t>
        </is>
      </c>
      <c r="J205" t="inlineStr">
        <is>
          <t xml:space="preserve">src/content/vocabulary/a2/daily-activities.json</t>
        </is>
      </c>
      <c r="K205" s="2">
        <v>46370</v>
      </c>
      <c r="L205">
        <f>IF($K205="","",IF($K205=TODAY(),COUNTIF($K$2:$K205,TODAY()),""))</f>
      </c>
    </row>
    <row r="206">
      <c r="A206" t="inlineStr">
        <is>
          <t xml:space="preserve">a2_act_007</t>
        </is>
      </c>
      <c r="B206" t="inlineStr">
        <is>
          <t xml:space="preserve">A2</t>
        </is>
      </c>
      <c r="C206" t="inlineStr">
        <is>
          <t xml:space="preserve">daily-activities</t>
        </is>
      </c>
      <c r="D206" t="inlineStr">
        <is>
          <t xml:space="preserve">—</t>
        </is>
      </c>
      <c r="E206" s="3" t="inlineStr">
        <is>
          <t xml:space="preserve">concert</t>
        </is>
      </c>
      <c r="F206" s="3" t="inlineStr">
        <is>
          <t xml:space="preserve">buổi hòa nhạc</t>
        </is>
      </c>
      <c r="H206" s="3" t="inlineStr">
        <is>
          <t xml:space="preserve">We bought tickets for the concert.</t>
        </is>
      </c>
      <c r="I206" s="3" t="inlineStr">
        <is>
          <t xml:space="preserve">give a concert, a rock concert</t>
        </is>
      </c>
      <c r="J206" t="inlineStr">
        <is>
          <t xml:space="preserve">src/content/vocabulary/a2/daily-activities.json</t>
        </is>
      </c>
      <c r="K206" s="2">
        <v>46370</v>
      </c>
      <c r="L206">
        <f>IF($K206="","",IF($K206=TODAY(),COUNTIF($K$2:$K206,TODAY()),""))</f>
      </c>
    </row>
    <row r="207">
      <c r="A207" t="inlineStr">
        <is>
          <t xml:space="preserve">a2_act_008</t>
        </is>
      </c>
      <c r="B207" t="inlineStr">
        <is>
          <t xml:space="preserve">A2</t>
        </is>
      </c>
      <c r="C207" t="inlineStr">
        <is>
          <t xml:space="preserve">daily-activities</t>
        </is>
      </c>
      <c r="D207" t="inlineStr">
        <is>
          <t xml:space="preserve">—</t>
        </is>
      </c>
      <c r="E207" s="3" t="inlineStr">
        <is>
          <t xml:space="preserve">cinema</t>
        </is>
      </c>
      <c r="F207" s="3" t="inlineStr">
        <is>
          <t xml:space="preserve">rạp phim</t>
        </is>
      </c>
      <c r="H207" s="3" t="inlineStr">
        <is>
          <t xml:space="preserve">The cinema is next to the bookshop.</t>
        </is>
      </c>
      <c r="I207" s="3" t="inlineStr">
        <is>
          <t xml:space="preserve">go to the cinema, an old cinema</t>
        </is>
      </c>
      <c r="J207" t="inlineStr">
        <is>
          <t xml:space="preserve">src/content/vocabulary/a2/daily-activities.json</t>
        </is>
      </c>
      <c r="K207" s="2">
        <v>46370</v>
      </c>
      <c r="L207">
        <f>IF($K207="","",IF($K207=TODAY(),COUNTIF($K$2:$K207,TODAY()),""))</f>
      </c>
    </row>
    <row r="208">
      <c r="A208" t="inlineStr">
        <is>
          <t xml:space="preserve">a2_act_009</t>
        </is>
      </c>
      <c r="B208" t="inlineStr">
        <is>
          <t xml:space="preserve">A2</t>
        </is>
      </c>
      <c r="C208" t="inlineStr">
        <is>
          <t xml:space="preserve">daily-activities</t>
        </is>
      </c>
      <c r="D208" t="inlineStr">
        <is>
          <t xml:space="preserve">—</t>
        </is>
      </c>
      <c r="E208" s="3" t="inlineStr">
        <is>
          <t xml:space="preserve">restaurant</t>
        </is>
      </c>
      <c r="F208" s="3" t="inlineStr">
        <is>
          <t xml:space="preserve">nhà hàng</t>
        </is>
      </c>
      <c r="H208" s="3" t="inlineStr">
        <is>
          <t xml:space="preserve">We had lunch at a small restaurant.</t>
        </is>
      </c>
      <c r="I208" s="3" t="inlineStr">
        <is>
          <t xml:space="preserve">a cheap restaurant, run a restaurant</t>
        </is>
      </c>
      <c r="J208" t="inlineStr">
        <is>
          <t xml:space="preserve">src/content/vocabulary/a2/daily-activities.json</t>
        </is>
      </c>
      <c r="K208" s="2">
        <v>46370</v>
      </c>
      <c r="L208">
        <f>IF($K208="","",IF($K208=TODAY(),COUNTIF($K$2:$K208,TODAY()),""))</f>
      </c>
    </row>
    <row r="209">
      <c r="A209" t="inlineStr">
        <is>
          <t xml:space="preserve">a2_act_010</t>
        </is>
      </c>
      <c r="B209" t="inlineStr">
        <is>
          <t xml:space="preserve">A2</t>
        </is>
      </c>
      <c r="C209" t="inlineStr">
        <is>
          <t xml:space="preserve">daily-activities</t>
        </is>
      </c>
      <c r="D209" t="inlineStr">
        <is>
          <t xml:space="preserve">—</t>
        </is>
      </c>
      <c r="E209" s="3" t="inlineStr">
        <is>
          <t xml:space="preserve">photograph</t>
        </is>
      </c>
      <c r="F209" s="3" t="inlineStr">
        <is>
          <t xml:space="preserve">bức ảnh</t>
        </is>
      </c>
      <c r="H209" s="3" t="inlineStr">
        <is>
          <t xml:space="preserve">She took a photograph of the bay.</t>
        </is>
      </c>
      <c r="I209" s="3" t="inlineStr">
        <is>
          <t xml:space="preserve">take a photograph, an old photograph</t>
        </is>
      </c>
      <c r="J209" t="inlineStr">
        <is>
          <t xml:space="preserve">src/content/vocabulary/a2/daily-activities.json</t>
        </is>
      </c>
      <c r="K209" s="2">
        <v>46370</v>
      </c>
      <c r="L209">
        <f>IF($K209="","",IF($K209=TODAY(),COUNTIF($K$2:$K209,TODAY()),""))</f>
      </c>
    </row>
    <row r="210">
      <c r="A210" t="inlineStr">
        <is>
          <t xml:space="preserve">a2_act_011</t>
        </is>
      </c>
      <c r="B210" t="inlineStr">
        <is>
          <t xml:space="preserve">A2</t>
        </is>
      </c>
      <c r="C210" t="inlineStr">
        <is>
          <t xml:space="preserve">daily-activities</t>
        </is>
      </c>
      <c r="D210" t="inlineStr">
        <is>
          <t xml:space="preserve">—</t>
        </is>
      </c>
      <c r="E210" s="3" t="inlineStr">
        <is>
          <t xml:space="preserve">message</t>
        </is>
      </c>
      <c r="F210" s="3" t="inlineStr">
        <is>
          <t xml:space="preserve">tin nhắn</t>
        </is>
      </c>
      <c r="H210" s="3" t="inlineStr">
        <is>
          <t xml:space="preserve">Leave me a message if I am out.</t>
        </is>
      </c>
      <c r="I210" s="3" t="inlineStr">
        <is>
          <t xml:space="preserve">send a message, leave a message</t>
        </is>
      </c>
      <c r="J210" t="inlineStr">
        <is>
          <t xml:space="preserve">src/content/vocabulary/a2/daily-activities.json</t>
        </is>
      </c>
      <c r="K210" s="2">
        <v>46371</v>
      </c>
      <c r="L210">
        <f>IF($K210="","",IF($K210=TODAY(),COUNTIF($K$2:$K210,TODAY()),""))</f>
      </c>
    </row>
    <row r="211">
      <c r="A211" t="inlineStr">
        <is>
          <t xml:space="preserve">a2_act_012</t>
        </is>
      </c>
      <c r="B211" t="inlineStr">
        <is>
          <t xml:space="preserve">A2</t>
        </is>
      </c>
      <c r="C211" t="inlineStr">
        <is>
          <t xml:space="preserve">daily-activities</t>
        </is>
      </c>
      <c r="D211" t="inlineStr">
        <is>
          <t xml:space="preserve">—</t>
        </is>
      </c>
      <c r="E211" s="3" t="inlineStr">
        <is>
          <t xml:space="preserve">invitation</t>
        </is>
      </c>
      <c r="F211" s="3" t="inlineStr">
        <is>
          <t xml:space="preserve">lời mời</t>
        </is>
      </c>
      <c r="H211" s="3" t="inlineStr">
        <is>
          <t xml:space="preserve">We got an invitation to their wedding.</t>
        </is>
      </c>
      <c r="I211" s="3" t="inlineStr">
        <is>
          <t xml:space="preserve">accept an invitation, send an invitation</t>
        </is>
      </c>
      <c r="J211" t="inlineStr">
        <is>
          <t xml:space="preserve">src/content/vocabulary/a2/daily-activities.json</t>
        </is>
      </c>
      <c r="K211" s="2">
        <v>46371</v>
      </c>
      <c r="L211">
        <f>IF($K211="","",IF($K211=TODAY(),COUNTIF($K$2:$K211,TODAY()),""))</f>
      </c>
    </row>
    <row r="212">
      <c r="A212" t="inlineStr">
        <is>
          <t xml:space="preserve">a2_desc_001</t>
        </is>
      </c>
      <c r="B212" t="inlineStr">
        <is>
          <t xml:space="preserve">A2</t>
        </is>
      </c>
      <c r="C212" t="inlineStr">
        <is>
          <t xml:space="preserve">describing-places</t>
        </is>
      </c>
      <c r="D212" t="inlineStr">
        <is>
          <t xml:space="preserve">—</t>
        </is>
      </c>
      <c r="E212" s="3" t="inlineStr">
        <is>
          <t xml:space="preserve">crowded</t>
        </is>
      </c>
      <c r="F212" s="3" t="inlineStr">
        <is>
          <t xml:space="preserve">đông đúc</t>
        </is>
      </c>
      <c r="H212" s="3" t="inlineStr">
        <is>
          <t xml:space="preserve">The market is crowded at the weekend.</t>
        </is>
      </c>
      <c r="I212" s="3" t="inlineStr">
        <is>
          <t xml:space="preserve">a crowded street, too crowded</t>
        </is>
      </c>
      <c r="J212" t="inlineStr">
        <is>
          <t xml:space="preserve">src/content/vocabulary/a2/describing-places.json</t>
        </is>
      </c>
      <c r="K212" s="2">
        <v>46371</v>
      </c>
      <c r="L212">
        <f>IF($K212="","",IF($K212=TODAY(),COUNTIF($K$2:$K212,TODAY()),""))</f>
      </c>
    </row>
    <row r="213">
      <c r="A213" t="inlineStr">
        <is>
          <t xml:space="preserve">a2_desc_002</t>
        </is>
      </c>
      <c r="B213" t="inlineStr">
        <is>
          <t xml:space="preserve">A2</t>
        </is>
      </c>
      <c r="C213" t="inlineStr">
        <is>
          <t xml:space="preserve">describing-places</t>
        </is>
      </c>
      <c r="D213" t="inlineStr">
        <is>
          <t xml:space="preserve">—</t>
        </is>
      </c>
      <c r="E213" s="3" t="inlineStr">
        <is>
          <t xml:space="preserve">noisy</t>
        </is>
      </c>
      <c r="F213" s="3" t="inlineStr">
        <is>
          <t xml:space="preserve">ồn ào</t>
        </is>
      </c>
      <c r="H213" s="3" t="inlineStr">
        <is>
          <t xml:space="preserve">Our street is noisy in the morning.</t>
        </is>
      </c>
      <c r="I213" s="3" t="inlineStr">
        <is>
          <t xml:space="preserve">a noisy neighbour, noisy traffic</t>
        </is>
      </c>
      <c r="J213" t="inlineStr">
        <is>
          <t xml:space="preserve">src/content/vocabulary/a2/describing-places.json</t>
        </is>
      </c>
      <c r="K213" s="2">
        <v>46371</v>
      </c>
      <c r="L213">
        <f>IF($K213="","",IF($K213=TODAY(),COUNTIF($K$2:$K213,TODAY()),""))</f>
      </c>
    </row>
    <row r="214">
      <c r="A214" t="inlineStr">
        <is>
          <t xml:space="preserve">a2_desc_003</t>
        </is>
      </c>
      <c r="B214" t="inlineStr">
        <is>
          <t xml:space="preserve">A2</t>
        </is>
      </c>
      <c r="C214" t="inlineStr">
        <is>
          <t xml:space="preserve">describing-places</t>
        </is>
      </c>
      <c r="D214" t="inlineStr">
        <is>
          <t xml:space="preserve">—</t>
        </is>
      </c>
      <c r="E214" s="3" t="inlineStr">
        <is>
          <t xml:space="preserve">quiet</t>
        </is>
      </c>
      <c r="F214" s="3" t="inlineStr">
        <is>
          <t xml:space="preserve">yên tĩnh</t>
        </is>
      </c>
      <c r="H214" s="3" t="inlineStr">
        <is>
          <t xml:space="preserve">The library was dark and quiet.</t>
        </is>
      </c>
      <c r="I214" s="3" t="inlineStr">
        <is>
          <t xml:space="preserve">a quiet village, keep quiet</t>
        </is>
      </c>
      <c r="J214" t="inlineStr">
        <is>
          <t xml:space="preserve">src/content/vocabulary/a2/describing-places.json</t>
        </is>
      </c>
      <c r="K214" s="2">
        <v>46371</v>
      </c>
      <c r="L214">
        <f>IF($K214="","",IF($K214=TODAY(),COUNTIF($K$2:$K214,TODAY()),""))</f>
      </c>
    </row>
    <row r="215">
      <c r="A215" t="inlineStr">
        <is>
          <t xml:space="preserve">a2_desc_004</t>
        </is>
      </c>
      <c r="B215" t="inlineStr">
        <is>
          <t xml:space="preserve">A2</t>
        </is>
      </c>
      <c r="C215" t="inlineStr">
        <is>
          <t xml:space="preserve">describing-places</t>
        </is>
      </c>
      <c r="D215" t="inlineStr">
        <is>
          <t xml:space="preserve">—</t>
        </is>
      </c>
      <c r="E215" s="3" t="inlineStr">
        <is>
          <t xml:space="preserve">friendly</t>
        </is>
      </c>
      <c r="F215" s="3" t="inlineStr">
        <is>
          <t xml:space="preserve">thân thiện</t>
        </is>
      </c>
      <c r="H215" s="3" t="inlineStr">
        <is>
          <t xml:space="preserve">The people in this town are friendly.</t>
        </is>
      </c>
      <c r="I215" s="3" t="inlineStr">
        <is>
          <t xml:space="preserve">a friendly welcome, friendly to visitors</t>
        </is>
      </c>
      <c r="J215" t="inlineStr">
        <is>
          <t xml:space="preserve">src/content/vocabulary/a2/describing-places.json</t>
        </is>
      </c>
      <c r="K215" s="2">
        <v>46371</v>
      </c>
      <c r="L215">
        <f>IF($K215="","",IF($K215=TODAY(),COUNTIF($K$2:$K215,TODAY()),""))</f>
      </c>
    </row>
    <row r="216">
      <c r="A216" t="inlineStr">
        <is>
          <t xml:space="preserve">a2_desc_005</t>
        </is>
      </c>
      <c r="B216" t="inlineStr">
        <is>
          <t xml:space="preserve">A2</t>
        </is>
      </c>
      <c r="C216" t="inlineStr">
        <is>
          <t xml:space="preserve">describing-places</t>
        </is>
      </c>
      <c r="D216" t="inlineStr">
        <is>
          <t xml:space="preserve">—</t>
        </is>
      </c>
      <c r="E216" s="3" t="inlineStr">
        <is>
          <t xml:space="preserve">polite</t>
        </is>
      </c>
      <c r="F216" s="3" t="inlineStr">
        <is>
          <t xml:space="preserve">lịch sự</t>
        </is>
      </c>
      <c r="H216" s="3" t="inlineStr">
        <is>
          <t xml:space="preserve">He was very polite to the driver.</t>
        </is>
      </c>
      <c r="I216" s="3" t="inlineStr">
        <is>
          <t xml:space="preserve">a polite reply, be polite to someone</t>
        </is>
      </c>
      <c r="J216" t="inlineStr">
        <is>
          <t xml:space="preserve">src/content/vocabulary/a2/describing-places.json</t>
        </is>
      </c>
      <c r="K216" s="2">
        <v>46371</v>
      </c>
      <c r="L216">
        <f>IF($K216="","",IF($K216=TODAY(),COUNTIF($K$2:$K216,TODAY()),""))</f>
      </c>
    </row>
    <row r="217">
      <c r="A217" t="inlineStr">
        <is>
          <t xml:space="preserve">a2_desc_006</t>
        </is>
      </c>
      <c r="B217" t="inlineStr">
        <is>
          <t xml:space="preserve">A2</t>
        </is>
      </c>
      <c r="C217" t="inlineStr">
        <is>
          <t xml:space="preserve">describing-places</t>
        </is>
      </c>
      <c r="D217" t="inlineStr">
        <is>
          <t xml:space="preserve">—</t>
        </is>
      </c>
      <c r="E217" s="3" t="inlineStr">
        <is>
          <t xml:space="preserve">generous</t>
        </is>
      </c>
      <c r="F217" s="3" t="inlineStr">
        <is>
          <t xml:space="preserve">hào phóng</t>
        </is>
      </c>
      <c r="H217" s="3" t="inlineStr">
        <is>
          <t xml:space="preserve">They were generous with their time.</t>
        </is>
      </c>
      <c r="I217" s="3" t="inlineStr">
        <is>
          <t xml:space="preserve">a generous offer, generous to strangers</t>
        </is>
      </c>
      <c r="J217" t="inlineStr">
        <is>
          <t xml:space="preserve">src/content/vocabulary/a2/describing-places.json</t>
        </is>
      </c>
      <c r="K217" s="2">
        <v>46371</v>
      </c>
      <c r="L217">
        <f>IF($K217="","",IF($K217=TODAY(),COUNTIF($K$2:$K217,TODAY()),""))</f>
      </c>
    </row>
    <row r="218">
      <c r="A218" t="inlineStr">
        <is>
          <t xml:space="preserve">a2_desc_007</t>
        </is>
      </c>
      <c r="B218" t="inlineStr">
        <is>
          <t xml:space="preserve">A2</t>
        </is>
      </c>
      <c r="C218" t="inlineStr">
        <is>
          <t xml:space="preserve">describing-places</t>
        </is>
      </c>
      <c r="D218" t="inlineStr">
        <is>
          <t xml:space="preserve">—</t>
        </is>
      </c>
      <c r="E218" s="3" t="inlineStr">
        <is>
          <t xml:space="preserve">ancient</t>
        </is>
      </c>
      <c r="F218" s="3" t="inlineStr">
        <is>
          <t xml:space="preserve">cổ xưa</t>
        </is>
      </c>
      <c r="H218" s="3" t="inlineStr">
        <is>
          <t xml:space="preserve">We visited an ancient temple near Hue.</t>
        </is>
      </c>
      <c r="I218" s="3" t="inlineStr">
        <is>
          <t xml:space="preserve">an ancient city, ancient history</t>
        </is>
      </c>
      <c r="J218" t="inlineStr">
        <is>
          <t xml:space="preserve">src/content/vocabulary/a2/describing-places.json</t>
        </is>
      </c>
      <c r="K218" s="2">
        <v>46371</v>
      </c>
      <c r="L218">
        <f>IF($K218="","",IF($K218=TODAY(),COUNTIF($K$2:$K218,TODAY()),""))</f>
      </c>
    </row>
    <row r="219">
      <c r="A219" t="inlineStr">
        <is>
          <t xml:space="preserve">a2_desc_008</t>
        </is>
      </c>
      <c r="B219" t="inlineStr">
        <is>
          <t xml:space="preserve">A2</t>
        </is>
      </c>
      <c r="C219" t="inlineStr">
        <is>
          <t xml:space="preserve">describing-places</t>
        </is>
      </c>
      <c r="D219" t="inlineStr">
        <is>
          <t xml:space="preserve">—</t>
        </is>
      </c>
      <c r="E219" s="3" t="inlineStr">
        <is>
          <t xml:space="preserve">modern</t>
        </is>
      </c>
      <c r="F219" s="3" t="inlineStr">
        <is>
          <t xml:space="preserve">hiện đại</t>
        </is>
      </c>
      <c r="H219" s="3" t="inlineStr">
        <is>
          <t xml:space="preserve">The museum has a modern glass roof.</t>
        </is>
      </c>
      <c r="I219" s="3" t="inlineStr">
        <is>
          <t xml:space="preserve">a modern building, modern art</t>
        </is>
      </c>
      <c r="J219" t="inlineStr">
        <is>
          <t xml:space="preserve">src/content/vocabulary/a2/describing-places.json</t>
        </is>
      </c>
      <c r="K219" s="2">
        <v>46371</v>
      </c>
      <c r="L219">
        <f>IF($K219="","",IF($K219=TODAY(),COUNTIF($K$2:$K219,TODAY()),""))</f>
      </c>
    </row>
    <row r="220">
      <c r="A220" t="inlineStr">
        <is>
          <t xml:space="preserve">a2_desc_009</t>
        </is>
      </c>
      <c r="B220" t="inlineStr">
        <is>
          <t xml:space="preserve">A2</t>
        </is>
      </c>
      <c r="C220" t="inlineStr">
        <is>
          <t xml:space="preserve">describing-places</t>
        </is>
      </c>
      <c r="D220" t="inlineStr">
        <is>
          <t xml:space="preserve">—</t>
        </is>
      </c>
      <c r="E220" s="3" t="inlineStr">
        <is>
          <t xml:space="preserve">peaceful</t>
        </is>
      </c>
      <c r="F220" s="3" t="inlineStr">
        <is>
          <t xml:space="preserve">yên bình</t>
        </is>
      </c>
      <c r="H220" s="3" t="inlineStr">
        <is>
          <t xml:space="preserve">The village is quiet and peaceful.</t>
        </is>
      </c>
      <c r="I220" s="3" t="inlineStr">
        <is>
          <t xml:space="preserve">a peaceful morning, peaceful countryside</t>
        </is>
      </c>
      <c r="J220" t="inlineStr">
        <is>
          <t xml:space="preserve">src/content/vocabulary/a2/describing-places.json</t>
        </is>
      </c>
      <c r="K220" s="2">
        <v>46371</v>
      </c>
      <c r="L220">
        <f>IF($K220="","",IF($K220=TODAY(),COUNTIF($K$2:$K220,TODAY()),""))</f>
      </c>
    </row>
    <row r="221">
      <c r="A221" t="inlineStr">
        <is>
          <t xml:space="preserve">a2_desc_010</t>
        </is>
      </c>
      <c r="B221" t="inlineStr">
        <is>
          <t xml:space="preserve">A2</t>
        </is>
      </c>
      <c r="C221" t="inlineStr">
        <is>
          <t xml:space="preserve">describing-places</t>
        </is>
      </c>
      <c r="D221" t="inlineStr">
        <is>
          <t xml:space="preserve">—</t>
        </is>
      </c>
      <c r="E221" s="3" t="inlineStr">
        <is>
          <t xml:space="preserve">convenient</t>
        </is>
      </c>
      <c r="F221" s="3" t="inlineStr">
        <is>
          <t xml:space="preserve">tiện lợi</t>
        </is>
      </c>
      <c r="H221" s="3" t="inlineStr">
        <is>
          <t xml:space="preserve">The flat is convenient for the station.</t>
        </is>
      </c>
      <c r="I221" s="3" t="inlineStr">
        <is>
          <t xml:space="preserve">a convenient time, it is convenient to</t>
        </is>
      </c>
      <c r="J221" t="inlineStr">
        <is>
          <t xml:space="preserve">src/content/vocabulary/a2/describing-places.json</t>
        </is>
      </c>
      <c r="K221" s="2">
        <v>46371</v>
      </c>
      <c r="L221">
        <f>IF($K221="","",IF($K221=TODAY(),COUNTIF($K$2:$K221,TODAY()),""))</f>
      </c>
    </row>
    <row r="222">
      <c r="A222" t="inlineStr">
        <is>
          <t xml:space="preserve">a2_desc_011</t>
        </is>
      </c>
      <c r="B222" t="inlineStr">
        <is>
          <t xml:space="preserve">A2</t>
        </is>
      </c>
      <c r="C222" t="inlineStr">
        <is>
          <t xml:space="preserve">describing-places</t>
        </is>
      </c>
      <c r="D222" t="inlineStr">
        <is>
          <t xml:space="preserve">—</t>
        </is>
      </c>
      <c r="E222" s="3" t="inlineStr">
        <is>
          <t xml:space="preserve">dangerous</t>
        </is>
      </c>
      <c r="F222" s="3" t="inlineStr">
        <is>
          <t xml:space="preserve">nguy hiểm</t>
        </is>
      </c>
      <c r="H222" s="3" t="inlineStr">
        <is>
          <t xml:space="preserve">Swimming here is dangerous at night.</t>
        </is>
      </c>
      <c r="I222" s="3" t="inlineStr">
        <is>
          <t xml:space="preserve">a dangerous road, look dangerous</t>
        </is>
      </c>
      <c r="J222" t="inlineStr">
        <is>
          <t xml:space="preserve">src/content/vocabulary/a2/describing-places.json</t>
        </is>
      </c>
      <c r="K222" s="2">
        <v>46372</v>
      </c>
      <c r="L222">
        <f>IF($K222="","",IF($K222=TODAY(),COUNTIF($K$2:$K222,TODAY()),""))</f>
      </c>
    </row>
    <row r="223">
      <c r="A223" t="inlineStr">
        <is>
          <t xml:space="preserve">a2_desc_012</t>
        </is>
      </c>
      <c r="B223" t="inlineStr">
        <is>
          <t xml:space="preserve">A2</t>
        </is>
      </c>
      <c r="C223" t="inlineStr">
        <is>
          <t xml:space="preserve">describing-places</t>
        </is>
      </c>
      <c r="D223" t="inlineStr">
        <is>
          <t xml:space="preserve">—</t>
        </is>
      </c>
      <c r="E223" s="3" t="inlineStr">
        <is>
          <t xml:space="preserve">comfortable</t>
        </is>
      </c>
      <c r="F223" s="3" t="inlineStr">
        <is>
          <t xml:space="preserve">thoải mái</t>
        </is>
      </c>
      <c r="H223" s="3" t="inlineStr">
        <is>
          <t xml:space="preserve">The chairs in the lobby are comfortable.</t>
        </is>
      </c>
      <c r="I223" s="3" t="inlineStr">
        <is>
          <t xml:space="preserve">a comfortable seat, feel comfortable</t>
        </is>
      </c>
      <c r="J223" t="inlineStr">
        <is>
          <t xml:space="preserve">src/content/vocabulary/a2/describing-places.json</t>
        </is>
      </c>
      <c r="K223" s="2">
        <v>46372</v>
      </c>
      <c r="L223">
        <f>IF($K223="","",IF($K223=TODAY(),COUNTIF($K$2:$K223,TODAY()),""))</f>
      </c>
    </row>
    <row r="224">
      <c r="A224" t="inlineStr">
        <is>
          <t xml:space="preserve">cur_v013</t>
        </is>
      </c>
      <c r="B224" t="inlineStr">
        <is>
          <t xml:space="preserve">B1</t>
        </is>
      </c>
      <c r="C224" t="inlineStr">
        <is>
          <t xml:space="preserve">opinion</t>
        </is>
      </c>
      <c r="D224" t="inlineStr">
        <is>
          <t xml:space="preserve">A2-026</t>
        </is>
      </c>
      <c r="E224" s="3" t="inlineStr">
        <is>
          <t xml:space="preserve">although</t>
        </is>
      </c>
      <c r="F224" s="3" t="inlineStr">
        <is>
          <t xml:space="preserve">mặc dù</t>
        </is>
      </c>
      <c r="G224" t="inlineStr">
        <is>
          <t xml:space="preserve">/ɔːlˈðoʊ/</t>
        </is>
      </c>
      <c r="H224" s="3" t="inlineStr">
        <is>
          <t xml:space="preserve">Although it was late, we kept studying.</t>
        </is>
      </c>
      <c r="I224" s="3" t="inlineStr">
        <is>
          <t xml:space="preserve">although + clause</t>
        </is>
      </c>
      <c r="J224" t="inlineStr">
        <is>
          <t xml:space="preserve">data/roadmap</t>
        </is>
      </c>
      <c r="K224" s="2">
        <v>46412</v>
      </c>
      <c r="L224">
        <f>IF($K224="","",IF($K224=TODAY(),COUNTIF($K$2:$K224,TODAY()),""))</f>
      </c>
    </row>
    <row r="225">
      <c r="A225" t="inlineStr">
        <is>
          <t xml:space="preserve">cur_v014</t>
        </is>
      </c>
      <c r="B225" t="inlineStr">
        <is>
          <t xml:space="preserve">B1</t>
        </is>
      </c>
      <c r="C225" t="inlineStr">
        <is>
          <t xml:space="preserve">communication</t>
        </is>
      </c>
      <c r="D225" t="inlineStr">
        <is>
          <t xml:space="preserve">B1-033</t>
        </is>
      </c>
      <c r="E225" s="3" t="inlineStr">
        <is>
          <t xml:space="preserve">explain</t>
        </is>
      </c>
      <c r="F225" s="3" t="inlineStr">
        <is>
          <t xml:space="preserve">giải thích</t>
        </is>
      </c>
      <c r="G225" t="inlineStr">
        <is>
          <t xml:space="preserve">/ɪkˈspleɪn/</t>
        </is>
      </c>
      <c r="H225" s="3" t="inlineStr">
        <is>
          <t xml:space="preserve">Can you explain this idea?</t>
        </is>
      </c>
      <c r="I225" s="3" t="inlineStr">
        <is>
          <t xml:space="preserve">explain clearly</t>
        </is>
      </c>
      <c r="J225" t="inlineStr">
        <is>
          <t xml:space="preserve">data/roadmap</t>
        </is>
      </c>
      <c r="K225" s="2">
        <v>46412</v>
      </c>
      <c r="L225">
        <f>IF($K225="","",IF($K225=TODAY(),COUNTIF($K$2:$K225,TODAY()),""))</f>
      </c>
    </row>
    <row r="226">
      <c r="A226" t="inlineStr">
        <is>
          <t xml:space="preserve">b1_abs_001</t>
        </is>
      </c>
      <c r="B226" t="inlineStr">
        <is>
          <t xml:space="preserve">B1</t>
        </is>
      </c>
      <c r="C226" t="inlineStr">
        <is>
          <t xml:space="preserve">opinions-abstract</t>
        </is>
      </c>
      <c r="D226" t="inlineStr">
        <is>
          <t xml:space="preserve">—</t>
        </is>
      </c>
      <c r="E226" s="3" t="inlineStr">
        <is>
          <t xml:space="preserve">advantage</t>
        </is>
      </c>
      <c r="F226" s="3" t="inlineStr">
        <is>
          <t xml:space="preserve">lợi thế</t>
        </is>
      </c>
      <c r="H226" s="3" t="inlineStr">
        <is>
          <t xml:space="preserve">Living near campus is a big advantage.</t>
        </is>
      </c>
      <c r="I226" s="3" t="inlineStr">
        <is>
          <t xml:space="preserve">an obvious advantage, take advantage of</t>
        </is>
      </c>
      <c r="J226" t="inlineStr">
        <is>
          <t xml:space="preserve">src/content/vocabulary/b1/opinions-abstract.json</t>
        </is>
      </c>
      <c r="K226" s="2">
        <v>46412</v>
      </c>
      <c r="L226">
        <f>IF($K226="","",IF($K226=TODAY(),COUNTIF($K$2:$K226,TODAY()),""))</f>
      </c>
    </row>
    <row r="227">
      <c r="A227" t="inlineStr">
        <is>
          <t xml:space="preserve">b1_abs_002</t>
        </is>
      </c>
      <c r="B227" t="inlineStr">
        <is>
          <t xml:space="preserve">B1</t>
        </is>
      </c>
      <c r="C227" t="inlineStr">
        <is>
          <t xml:space="preserve">opinions-abstract</t>
        </is>
      </c>
      <c r="D227" t="inlineStr">
        <is>
          <t xml:space="preserve">—</t>
        </is>
      </c>
      <c r="E227" s="3" t="inlineStr">
        <is>
          <t xml:space="preserve">disadvantage</t>
        </is>
      </c>
      <c r="F227" s="3" t="inlineStr">
        <is>
          <t xml:space="preserve">bất lợi</t>
        </is>
      </c>
      <c r="H227" s="3" t="inlineStr">
        <is>
          <t xml:space="preserve">The main disadvantage is the long commute.</t>
        </is>
      </c>
      <c r="I227" s="3" t="inlineStr">
        <is>
          <t xml:space="preserve">a serious disadvantage, the disadvantage of</t>
        </is>
      </c>
      <c r="J227" t="inlineStr">
        <is>
          <t xml:space="preserve">src/content/vocabulary/b1/opinions-abstract.json</t>
        </is>
      </c>
      <c r="K227" s="2">
        <v>46412</v>
      </c>
      <c r="L227">
        <f>IF($K227="","",IF($K227=TODAY(),COUNTIF($K$2:$K227,TODAY()),""))</f>
      </c>
    </row>
    <row r="228">
      <c r="A228" t="inlineStr">
        <is>
          <t xml:space="preserve">b1_abs_003</t>
        </is>
      </c>
      <c r="B228" t="inlineStr">
        <is>
          <t xml:space="preserve">B1</t>
        </is>
      </c>
      <c r="C228" t="inlineStr">
        <is>
          <t xml:space="preserve">opinions-abstract</t>
        </is>
      </c>
      <c r="D228" t="inlineStr">
        <is>
          <t xml:space="preserve">—</t>
        </is>
      </c>
      <c r="E228" s="3" t="inlineStr">
        <is>
          <t xml:space="preserve">behaviour</t>
        </is>
      </c>
      <c r="F228" s="3" t="inlineStr">
        <is>
          <t xml:space="preserve">hành vi</t>
        </is>
      </c>
      <c r="H228" s="3" t="inlineStr">
        <is>
          <t xml:space="preserve">The teacher praised the children's behaviour.</t>
        </is>
      </c>
      <c r="I228" s="3" t="inlineStr">
        <is>
          <t xml:space="preserve">strange behaviour, behave with respect</t>
        </is>
      </c>
      <c r="J228" t="inlineStr">
        <is>
          <t xml:space="preserve">src/content/vocabulary/b1/opinions-abstract.json</t>
        </is>
      </c>
      <c r="K228" s="2">
        <v>46412</v>
      </c>
      <c r="L228">
        <f>IF($K228="","",IF($K228=TODAY(),COUNTIF($K$2:$K228,TODAY()),""))</f>
      </c>
    </row>
    <row r="229">
      <c r="A229" t="inlineStr">
        <is>
          <t xml:space="preserve">b1_abs_004</t>
        </is>
      </c>
      <c r="B229" t="inlineStr">
        <is>
          <t xml:space="preserve">B1</t>
        </is>
      </c>
      <c r="C229" t="inlineStr">
        <is>
          <t xml:space="preserve">opinions-abstract</t>
        </is>
      </c>
      <c r="D229" t="inlineStr">
        <is>
          <t xml:space="preserve">—</t>
        </is>
      </c>
      <c r="E229" s="3" t="inlineStr">
        <is>
          <t xml:space="preserve">attitude</t>
        </is>
      </c>
      <c r="F229" s="3" t="inlineStr">
        <is>
          <t xml:space="preserve">thái độ</t>
        </is>
      </c>
      <c r="H229" s="3" t="inlineStr">
        <is>
          <t xml:space="preserve">She has a positive attitude towards feedback.</t>
        </is>
      </c>
      <c r="I229" s="3" t="inlineStr">
        <is>
          <t xml:space="preserve">a can-do attitude, attitude to something</t>
        </is>
      </c>
      <c r="J229" t="inlineStr">
        <is>
          <t xml:space="preserve">src/content/vocabulary/b1/opinions-abstract.json</t>
        </is>
      </c>
      <c r="K229" s="2">
        <v>46412</v>
      </c>
      <c r="L229">
        <f>IF($K229="","",IF($K229=TODAY(),COUNTIF($K$2:$K229,TODAY()),""))</f>
      </c>
    </row>
    <row r="230">
      <c r="A230" t="inlineStr">
        <is>
          <t xml:space="preserve">b1_abs_005</t>
        </is>
      </c>
      <c r="B230" t="inlineStr">
        <is>
          <t xml:space="preserve">B1</t>
        </is>
      </c>
      <c r="C230" t="inlineStr">
        <is>
          <t xml:space="preserve">opinions-abstract</t>
        </is>
      </c>
      <c r="D230" t="inlineStr">
        <is>
          <t xml:space="preserve">—</t>
        </is>
      </c>
      <c r="E230" s="3" t="inlineStr">
        <is>
          <t xml:space="preserve">awareness</t>
        </is>
      </c>
      <c r="F230" s="3" t="inlineStr">
        <is>
          <t xml:space="preserve">sự nhận biết</t>
        </is>
      </c>
      <c r="H230" s="3" t="inlineStr">
        <is>
          <t xml:space="preserve">The campaign raised awareness of online scams.</t>
        </is>
      </c>
      <c r="I230" s="3" t="inlineStr">
        <is>
          <t xml:space="preserve">raise awareness of, public awareness</t>
        </is>
      </c>
      <c r="J230" t="inlineStr">
        <is>
          <t xml:space="preserve">src/content/vocabulary/b1/opinions-abstract.json</t>
        </is>
      </c>
      <c r="K230" s="2">
        <v>46412</v>
      </c>
      <c r="L230">
        <f>IF($K230="","",IF($K230=TODAY(),COUNTIF($K$2:$K230,TODAY()),""))</f>
      </c>
    </row>
    <row r="231">
      <c r="A231" t="inlineStr">
        <is>
          <t xml:space="preserve">b1_abs_006</t>
        </is>
      </c>
      <c r="B231" t="inlineStr">
        <is>
          <t xml:space="preserve">B1</t>
        </is>
      </c>
      <c r="C231" t="inlineStr">
        <is>
          <t xml:space="preserve">opinions-abstract</t>
        </is>
      </c>
      <c r="D231" t="inlineStr">
        <is>
          <t xml:space="preserve">—</t>
        </is>
      </c>
      <c r="E231" s="3" t="inlineStr">
        <is>
          <t xml:space="preserve">challenge</t>
        </is>
      </c>
      <c r="F231" s="3" t="inlineStr">
        <is>
          <t xml:space="preserve">thử thách</t>
        </is>
      </c>
      <c r="H231" s="3" t="inlineStr">
        <is>
          <t xml:space="preserve">Learning a new language is a real challenge.</t>
        </is>
      </c>
      <c r="I231" s="3" t="inlineStr">
        <is>
          <t xml:space="preserve">face a challenge, a demanding challenge</t>
        </is>
      </c>
      <c r="J231" t="inlineStr">
        <is>
          <t xml:space="preserve">src/content/vocabulary/b1/opinions-abstract.json</t>
        </is>
      </c>
      <c r="K231" s="2">
        <v>46412</v>
      </c>
      <c r="L231">
        <f>IF($K231="","",IF($K231=TODAY(),COUNTIF($K$2:$K231,TODAY()),""))</f>
      </c>
    </row>
    <row r="232">
      <c r="A232" t="inlineStr">
        <is>
          <t xml:space="preserve">b1_abs_007</t>
        </is>
      </c>
      <c r="B232" t="inlineStr">
        <is>
          <t xml:space="preserve">B1</t>
        </is>
      </c>
      <c r="C232" t="inlineStr">
        <is>
          <t xml:space="preserve">opinions-abstract</t>
        </is>
      </c>
      <c r="D232" t="inlineStr">
        <is>
          <t xml:space="preserve">—</t>
        </is>
      </c>
      <c r="E232" s="3" t="inlineStr">
        <is>
          <t xml:space="preserve">consequence</t>
        </is>
      </c>
      <c r="F232" s="3" t="inlineStr">
        <is>
          <t xml:space="preserve">hệ quả</t>
        </is>
      </c>
      <c r="H232" s="3" t="inlineStr">
        <is>
          <t xml:space="preserve">Missing the deadline had serious consequences.</t>
        </is>
      </c>
      <c r="I232" s="3" t="inlineStr">
        <is>
          <t xml:space="preserve">as a consequence, face the consequences</t>
        </is>
      </c>
      <c r="J232" t="inlineStr">
        <is>
          <t xml:space="preserve">src/content/vocabulary/b1/opinions-abstract.json</t>
        </is>
      </c>
      <c r="K232" s="2">
        <v>46412</v>
      </c>
      <c r="L232">
        <f>IF($K232="","",IF($K232=TODAY(),COUNTIF($K$2:$K232,TODAY()),""))</f>
      </c>
    </row>
    <row r="233">
      <c r="A233" t="inlineStr">
        <is>
          <t xml:space="preserve">b1_abs_008</t>
        </is>
      </c>
      <c r="B233" t="inlineStr">
        <is>
          <t xml:space="preserve">B1</t>
        </is>
      </c>
      <c r="C233" t="inlineStr">
        <is>
          <t xml:space="preserve">opinions-abstract</t>
        </is>
      </c>
      <c r="D233" t="inlineStr">
        <is>
          <t xml:space="preserve">—</t>
        </is>
      </c>
      <c r="E233" s="3" t="inlineStr">
        <is>
          <t xml:space="preserve">contribution</t>
        </is>
      </c>
      <c r="F233" s="3" t="inlineStr">
        <is>
          <t xml:space="preserve">sự đóng góp</t>
        </is>
      </c>
      <c r="H233" s="3" t="inlineStr">
        <is>
          <t xml:space="preserve">His contribution to the project was valuable.</t>
        </is>
      </c>
      <c r="I233" s="3" t="inlineStr">
        <is>
          <t xml:space="preserve">make a contribution, a key contribution</t>
        </is>
      </c>
      <c r="J233" t="inlineStr">
        <is>
          <t xml:space="preserve">src/content/vocabulary/b1/opinions-abstract.json</t>
        </is>
      </c>
      <c r="K233" s="2">
        <v>46412</v>
      </c>
      <c r="L233">
        <f>IF($K233="","",IF($K233=TODAY(),COUNTIF($K$2:$K233,TODAY()),""))</f>
      </c>
    </row>
    <row r="234">
      <c r="A234" t="inlineStr">
        <is>
          <t xml:space="preserve">b1_abs_009</t>
        </is>
      </c>
      <c r="B234" t="inlineStr">
        <is>
          <t xml:space="preserve">B1</t>
        </is>
      </c>
      <c r="C234" t="inlineStr">
        <is>
          <t xml:space="preserve">opinions-abstract</t>
        </is>
      </c>
      <c r="D234" t="inlineStr">
        <is>
          <t xml:space="preserve">—</t>
        </is>
      </c>
      <c r="E234" s="3" t="inlineStr">
        <is>
          <t xml:space="preserve">evidence</t>
        </is>
      </c>
      <c r="F234" s="3" t="inlineStr">
        <is>
          <t xml:space="preserve">bằng chứng</t>
        </is>
      </c>
      <c r="H234" s="3" t="inlineStr">
        <is>
          <t xml:space="preserve">There is little evidence that the rule works.</t>
        </is>
      </c>
      <c r="I234" s="3" t="inlineStr">
        <is>
          <t xml:space="preserve">strong evidence, on the evidence of</t>
        </is>
      </c>
      <c r="J234" t="inlineStr">
        <is>
          <t xml:space="preserve">src/content/vocabulary/b1/opinions-abstract.json</t>
        </is>
      </c>
      <c r="K234" s="2">
        <v>46412</v>
      </c>
      <c r="L234">
        <f>IF($K234="","",IF($K234=TODAY(),COUNTIF($K$2:$K234,TODAY()),""))</f>
      </c>
    </row>
    <row r="235">
      <c r="A235" t="inlineStr">
        <is>
          <t xml:space="preserve">b1_abs_010</t>
        </is>
      </c>
      <c r="B235" t="inlineStr">
        <is>
          <t xml:space="preserve">B1</t>
        </is>
      </c>
      <c r="C235" t="inlineStr">
        <is>
          <t xml:space="preserve">opinions-abstract</t>
        </is>
      </c>
      <c r="D235" t="inlineStr">
        <is>
          <t xml:space="preserve">—</t>
        </is>
      </c>
      <c r="E235" s="3" t="inlineStr">
        <is>
          <t xml:space="preserve">opportunity</t>
        </is>
      </c>
      <c r="F235" s="3" t="inlineStr">
        <is>
          <t xml:space="preserve">cơ hội</t>
        </is>
      </c>
      <c r="H235" s="3" t="inlineStr">
        <is>
          <t xml:space="preserve">The internship gave her the opportunity to practise speaking.</t>
        </is>
      </c>
      <c r="I235" s="3" t="inlineStr">
        <is>
          <t xml:space="preserve">seize the opportunity, an opportunity to do something</t>
        </is>
      </c>
      <c r="J235" t="inlineStr">
        <is>
          <t xml:space="preserve">src/content/vocabulary/b1/opinions-abstract.json</t>
        </is>
      </c>
      <c r="K235" s="2">
        <v>46412</v>
      </c>
      <c r="L235">
        <f>IF($K235="","",IF($K235=TODAY(),COUNTIF($K$2:$K235,TODAY()),""))</f>
      </c>
    </row>
    <row r="236">
      <c r="A236" t="inlineStr">
        <is>
          <t xml:space="preserve">b1_abs_011</t>
        </is>
      </c>
      <c r="B236" t="inlineStr">
        <is>
          <t xml:space="preserve">B1</t>
        </is>
      </c>
      <c r="C236" t="inlineStr">
        <is>
          <t xml:space="preserve">opinions-abstract</t>
        </is>
      </c>
      <c r="D236" t="inlineStr">
        <is>
          <t xml:space="preserve">—</t>
        </is>
      </c>
      <c r="E236" s="3" t="inlineStr">
        <is>
          <t xml:space="preserve">preference</t>
        </is>
      </c>
      <c r="F236" s="3" t="inlineStr">
        <is>
          <t xml:space="preserve">sự thích hơn</t>
        </is>
      </c>
      <c r="H236" s="3" t="inlineStr">
        <is>
          <t xml:space="preserve">I have a preference for morning classes.</t>
        </is>
      </c>
      <c r="I236" s="3" t="inlineStr">
        <is>
          <t xml:space="preserve">have a preference for, a matter of preference</t>
        </is>
      </c>
      <c r="J236" t="inlineStr">
        <is>
          <t xml:space="preserve">src/content/vocabulary/b1/opinions-abstract.json</t>
        </is>
      </c>
      <c r="K236" s="2">
        <v>46412</v>
      </c>
      <c r="L236">
        <f>IF($K236="","",IF($K236=TODAY(),COUNTIF($K$2:$K236,TODAY()),""))</f>
      </c>
    </row>
    <row r="237">
      <c r="A237" t="inlineStr">
        <is>
          <t xml:space="preserve">b1_abs_012</t>
        </is>
      </c>
      <c r="B237" t="inlineStr">
        <is>
          <t xml:space="preserve">B1</t>
        </is>
      </c>
      <c r="C237" t="inlineStr">
        <is>
          <t xml:space="preserve">opinions-abstract</t>
        </is>
      </c>
      <c r="D237" t="inlineStr">
        <is>
          <t xml:space="preserve">—</t>
        </is>
      </c>
      <c r="E237" s="3" t="inlineStr">
        <is>
          <t xml:space="preserve">procedure</t>
        </is>
      </c>
      <c r="F237" s="3" t="inlineStr">
        <is>
          <t xml:space="preserve">quy trình</t>
        </is>
      </c>
      <c r="H237" s="3" t="inlineStr">
        <is>
          <t xml:space="preserve">Follow the safety procedure without skipping steps.</t>
        </is>
      </c>
      <c r="I237" s="3" t="inlineStr">
        <is>
          <t xml:space="preserve">a standard procedure, apply the procedure</t>
        </is>
      </c>
      <c r="J237" t="inlineStr">
        <is>
          <t xml:space="preserve">src/content/vocabulary/b1/opinions-abstract.json</t>
        </is>
      </c>
      <c r="K237" s="2">
        <v>46412</v>
      </c>
      <c r="L237">
        <f>IF($K237="","",IF($K237=TODAY(),COUNTIF($K$2:$K237,TODAY()),""))</f>
      </c>
    </row>
    <row r="238">
      <c r="A238" t="inlineStr">
        <is>
          <t xml:space="preserve">b1_work_001</t>
        </is>
      </c>
      <c r="B238" t="inlineStr">
        <is>
          <t xml:space="preserve">B1</t>
        </is>
      </c>
      <c r="C238" t="inlineStr">
        <is>
          <t xml:space="preserve">work-study</t>
        </is>
      </c>
      <c r="D238" t="inlineStr">
        <is>
          <t xml:space="preserve">—</t>
        </is>
      </c>
      <c r="E238" s="3" t="inlineStr">
        <is>
          <t xml:space="preserve">colleague</t>
        </is>
      </c>
      <c r="F238" s="3" t="inlineStr">
        <is>
          <t xml:space="preserve">đồng nghiệp</t>
        </is>
      </c>
      <c r="H238" s="3" t="inlineStr">
        <is>
          <t xml:space="preserve">A colleague helped me finish the report.</t>
        </is>
      </c>
      <c r="I238" s="3" t="inlineStr">
        <is>
          <t xml:space="preserve">a close colleague, former colleague</t>
        </is>
      </c>
      <c r="J238" t="inlineStr">
        <is>
          <t xml:space="preserve">src/content/vocabulary/b1/work-study.json</t>
        </is>
      </c>
      <c r="K238" s="2">
        <v>46413</v>
      </c>
      <c r="L238">
        <f>IF($K238="","",IF($K238=TODAY(),COUNTIF($K$2:$K238,TODAY()),""))</f>
      </c>
    </row>
    <row r="239">
      <c r="A239" t="inlineStr">
        <is>
          <t xml:space="preserve">b1_work_002</t>
        </is>
      </c>
      <c r="B239" t="inlineStr">
        <is>
          <t xml:space="preserve">B1</t>
        </is>
      </c>
      <c r="C239" t="inlineStr">
        <is>
          <t xml:space="preserve">work-study</t>
        </is>
      </c>
      <c r="D239" t="inlineStr">
        <is>
          <t xml:space="preserve">—</t>
        </is>
      </c>
      <c r="E239" s="3" t="inlineStr">
        <is>
          <t xml:space="preserve">salary</t>
        </is>
      </c>
      <c r="F239" s="3" t="inlineStr">
        <is>
          <t xml:space="preserve">lương</t>
        </is>
      </c>
      <c r="H239" s="3" t="inlineStr">
        <is>
          <t xml:space="preserve">She earns a good salary in the city.</t>
        </is>
      </c>
      <c r="I239" s="3" t="inlineStr">
        <is>
          <t xml:space="preserve">a monthly salary, on a salary of</t>
        </is>
      </c>
      <c r="J239" t="inlineStr">
        <is>
          <t xml:space="preserve">src/content/vocabulary/b1/work-study.json</t>
        </is>
      </c>
      <c r="K239" s="2">
        <v>46413</v>
      </c>
      <c r="L239">
        <f>IF($K239="","",IF($K239=TODAY(),COUNTIF($K$2:$K239,TODAY()),""))</f>
      </c>
    </row>
    <row r="240">
      <c r="A240" t="inlineStr">
        <is>
          <t xml:space="preserve">b1_work_003</t>
        </is>
      </c>
      <c r="B240" t="inlineStr">
        <is>
          <t xml:space="preserve">B1</t>
        </is>
      </c>
      <c r="C240" t="inlineStr">
        <is>
          <t xml:space="preserve">work-study</t>
        </is>
      </c>
      <c r="D240" t="inlineStr">
        <is>
          <t xml:space="preserve">—</t>
        </is>
      </c>
      <c r="E240" s="3" t="inlineStr">
        <is>
          <t xml:space="preserve">deadline</t>
        </is>
      </c>
      <c r="F240" s="3" t="inlineStr">
        <is>
          <t xml:space="preserve">hạn chót</t>
        </is>
      </c>
      <c r="H240" s="3" t="inlineStr">
        <is>
          <t xml:space="preserve">The deadline for the project is Friday.</t>
        </is>
      </c>
      <c r="I240" s="3" t="inlineStr">
        <is>
          <t xml:space="preserve">meet a deadline, a tight deadline</t>
        </is>
      </c>
      <c r="J240" t="inlineStr">
        <is>
          <t xml:space="preserve">src/content/vocabulary/b1/work-study.json</t>
        </is>
      </c>
      <c r="K240" s="2">
        <v>46413</v>
      </c>
      <c r="L240">
        <f>IF($K240="","",IF($K240=TODAY(),COUNTIF($K$2:$K240,TODAY()),""))</f>
      </c>
    </row>
    <row r="241">
      <c r="A241" t="inlineStr">
        <is>
          <t xml:space="preserve">b1_work_004</t>
        </is>
      </c>
      <c r="B241" t="inlineStr">
        <is>
          <t xml:space="preserve">B1</t>
        </is>
      </c>
      <c r="C241" t="inlineStr">
        <is>
          <t xml:space="preserve">work-study</t>
        </is>
      </c>
      <c r="D241" t="inlineStr">
        <is>
          <t xml:space="preserve">—</t>
        </is>
      </c>
      <c r="E241" s="3" t="inlineStr">
        <is>
          <t xml:space="preserve">contract</t>
        </is>
      </c>
      <c r="F241" s="3" t="inlineStr">
        <is>
          <t xml:space="preserve">hợp đồng</t>
        </is>
      </c>
      <c r="H241" s="3" t="inlineStr">
        <is>
          <t xml:space="preserve">He signed a two-year contract last month.</t>
        </is>
      </c>
      <c r="I241" s="3" t="inlineStr">
        <is>
          <t xml:space="preserve">sign a contract, a fixed-term contract</t>
        </is>
      </c>
      <c r="J241" t="inlineStr">
        <is>
          <t xml:space="preserve">src/content/vocabulary/b1/work-study.json</t>
        </is>
      </c>
      <c r="K241" s="2">
        <v>46413</v>
      </c>
      <c r="L241">
        <f>IF($K241="","",IF($K241=TODAY(),COUNTIF($K$2:$K241,TODAY()),""))</f>
      </c>
    </row>
    <row r="242">
      <c r="A242" t="inlineStr">
        <is>
          <t xml:space="preserve">b1_work_005</t>
        </is>
      </c>
      <c r="B242" t="inlineStr">
        <is>
          <t xml:space="preserve">B1</t>
        </is>
      </c>
      <c r="C242" t="inlineStr">
        <is>
          <t xml:space="preserve">work-study</t>
        </is>
      </c>
      <c r="D242" t="inlineStr">
        <is>
          <t xml:space="preserve">—</t>
        </is>
      </c>
      <c r="E242" s="3" t="inlineStr">
        <is>
          <t xml:space="preserve">application</t>
        </is>
      </c>
      <c r="F242" s="3" t="inlineStr">
        <is>
          <t xml:space="preserve">đơn xin việc</t>
        </is>
      </c>
      <c r="H242" s="3" t="inlineStr">
        <is>
          <t xml:space="preserve">Her application arrived the day after the closing date.</t>
        </is>
      </c>
      <c r="I242" s="3" t="inlineStr">
        <is>
          <t xml:space="preserve">send an application, a job application</t>
        </is>
      </c>
      <c r="J242" t="inlineStr">
        <is>
          <t xml:space="preserve">src/content/vocabulary/b1/work-study.json</t>
        </is>
      </c>
      <c r="K242" s="2">
        <v>46413</v>
      </c>
      <c r="L242">
        <f>IF($K242="","",IF($K242=TODAY(),COUNTIF($K$2:$K242,TODAY()),""))</f>
      </c>
    </row>
    <row r="243">
      <c r="A243" t="inlineStr">
        <is>
          <t xml:space="preserve">b1_work_006</t>
        </is>
      </c>
      <c r="B243" t="inlineStr">
        <is>
          <t xml:space="preserve">B1</t>
        </is>
      </c>
      <c r="C243" t="inlineStr">
        <is>
          <t xml:space="preserve">work-study</t>
        </is>
      </c>
      <c r="D243" t="inlineStr">
        <is>
          <t xml:space="preserve">—</t>
        </is>
      </c>
      <c r="E243" s="3" t="inlineStr">
        <is>
          <t xml:space="preserve">interview</t>
        </is>
      </c>
      <c r="F243" s="3" t="inlineStr">
        <is>
          <t xml:space="preserve">buổi phỏng vấn</t>
        </is>
      </c>
      <c r="H243" s="3" t="inlineStr">
        <is>
          <t xml:space="preserve">I have an interview at ten o'clock.</t>
        </is>
      </c>
      <c r="I243" s="3" t="inlineStr">
        <is>
          <t xml:space="preserve">attend an interview, an interview question</t>
        </is>
      </c>
      <c r="J243" t="inlineStr">
        <is>
          <t xml:space="preserve">src/content/vocabulary/b1/work-study.json</t>
        </is>
      </c>
      <c r="K243" s="2">
        <v>46413</v>
      </c>
      <c r="L243">
        <f>IF($K243="","",IF($K243=TODAY(),COUNTIF($K$2:$K243,TODAY()),""))</f>
      </c>
    </row>
    <row r="244">
      <c r="A244" t="inlineStr">
        <is>
          <t xml:space="preserve">b1_work_007</t>
        </is>
      </c>
      <c r="B244" t="inlineStr">
        <is>
          <t xml:space="preserve">B1</t>
        </is>
      </c>
      <c r="C244" t="inlineStr">
        <is>
          <t xml:space="preserve">work-study</t>
        </is>
      </c>
      <c r="D244" t="inlineStr">
        <is>
          <t xml:space="preserve">—</t>
        </is>
      </c>
      <c r="E244" s="3" t="inlineStr">
        <is>
          <t xml:space="preserve">promotion</t>
        </is>
      </c>
      <c r="F244" s="3" t="inlineStr">
        <is>
          <t xml:space="preserve">sự thăng chức</t>
        </is>
      </c>
      <c r="H244" s="3" t="inlineStr">
        <is>
          <t xml:space="preserve">He got a promotion after two years.</t>
        </is>
      </c>
      <c r="I244" s="3" t="inlineStr">
        <is>
          <t xml:space="preserve">get a promotion, a well-deserved promotion</t>
        </is>
      </c>
      <c r="J244" t="inlineStr">
        <is>
          <t xml:space="preserve">src/content/vocabulary/b1/work-study.json</t>
        </is>
      </c>
      <c r="K244" s="2">
        <v>46413</v>
      </c>
      <c r="L244">
        <f>IF($K244="","",IF($K244=TODAY(),COUNTIF($K$2:$K244,TODAY()),""))</f>
      </c>
    </row>
    <row r="245">
      <c r="A245" t="inlineStr">
        <is>
          <t xml:space="preserve">b1_work_008</t>
        </is>
      </c>
      <c r="B245" t="inlineStr">
        <is>
          <t xml:space="preserve">B1</t>
        </is>
      </c>
      <c r="C245" t="inlineStr">
        <is>
          <t xml:space="preserve">work-study</t>
        </is>
      </c>
      <c r="D245" t="inlineStr">
        <is>
          <t xml:space="preserve">—</t>
        </is>
      </c>
      <c r="E245" s="3" t="inlineStr">
        <is>
          <t xml:space="preserve">responsibility</t>
        </is>
      </c>
      <c r="F245" s="3" t="inlineStr">
        <is>
          <t xml:space="preserve">trách nhiệm</t>
        </is>
      </c>
      <c r="H245" s="3" t="inlineStr">
        <is>
          <t xml:space="preserve">Checking the invoices is her responsibility.</t>
        </is>
      </c>
      <c r="I245" s="3" t="inlineStr">
        <is>
          <t xml:space="preserve">take responsibility for, a sense of responsibility</t>
        </is>
      </c>
      <c r="J245" t="inlineStr">
        <is>
          <t xml:space="preserve">src/content/vocabulary/b1/work-study.json</t>
        </is>
      </c>
      <c r="K245" s="2">
        <v>46413</v>
      </c>
      <c r="L245">
        <f>IF($K245="","",IF($K245=TODAY(),COUNTIF($K$2:$K245,TODAY()),""))</f>
      </c>
    </row>
    <row r="246">
      <c r="A246" t="inlineStr">
        <is>
          <t xml:space="preserve">b1_work_009</t>
        </is>
      </c>
      <c r="B246" t="inlineStr">
        <is>
          <t xml:space="preserve">B1</t>
        </is>
      </c>
      <c r="C246" t="inlineStr">
        <is>
          <t xml:space="preserve">work-study</t>
        </is>
      </c>
      <c r="D246" t="inlineStr">
        <is>
          <t xml:space="preserve">—</t>
        </is>
      </c>
      <c r="E246" s="3" t="inlineStr">
        <is>
          <t xml:space="preserve">qualification</t>
        </is>
      </c>
      <c r="F246" s="3" t="inlineStr">
        <is>
          <t xml:space="preserve">bằng cấp</t>
        </is>
      </c>
      <c r="H246" s="3" t="inlineStr">
        <is>
          <t xml:space="preserve">The job needs a teaching qualification.</t>
        </is>
      </c>
      <c r="I246" s="3" t="inlineStr">
        <is>
          <t xml:space="preserve">a teaching qualification, professional qualifications</t>
        </is>
      </c>
      <c r="J246" t="inlineStr">
        <is>
          <t xml:space="preserve">src/content/vocabulary/b1/work-study.json</t>
        </is>
      </c>
      <c r="K246" s="2">
        <v>46413</v>
      </c>
      <c r="L246">
        <f>IF($K246="","",IF($K246=TODAY(),COUNTIF($K$2:$K246,TODAY()),""))</f>
      </c>
    </row>
    <row r="247">
      <c r="A247" t="inlineStr">
        <is>
          <t xml:space="preserve">b1_work_010</t>
        </is>
      </c>
      <c r="B247" t="inlineStr">
        <is>
          <t xml:space="preserve">B1</t>
        </is>
      </c>
      <c r="C247" t="inlineStr">
        <is>
          <t xml:space="preserve">work-study</t>
        </is>
      </c>
      <c r="D247" t="inlineStr">
        <is>
          <t xml:space="preserve">—</t>
        </is>
      </c>
      <c r="E247" s="3" t="inlineStr">
        <is>
          <t xml:space="preserve">experience</t>
        </is>
      </c>
      <c r="F247" s="3" t="inlineStr">
        <is>
          <t xml:space="preserve">kinh nghiệm</t>
        </is>
      </c>
      <c r="H247" s="3" t="inlineStr">
        <is>
          <t xml:space="preserve">She has five years' experience in marketing.</t>
        </is>
      </c>
      <c r="I247" s="3" t="inlineStr">
        <is>
          <t xml:space="preserve">work experience, a valuable experience</t>
        </is>
      </c>
      <c r="J247" t="inlineStr">
        <is>
          <t xml:space="preserve">src/content/vocabulary/b1/work-study.json</t>
        </is>
      </c>
      <c r="K247" s="2">
        <v>46413</v>
      </c>
      <c r="L247">
        <f>IF($K247="","",IF($K247=TODAY(),COUNTIF($K$2:$K247,TODAY()),""))</f>
      </c>
    </row>
    <row r="248">
      <c r="A248" t="inlineStr">
        <is>
          <t xml:space="preserve">b1_work_011</t>
        </is>
      </c>
      <c r="B248" t="inlineStr">
        <is>
          <t xml:space="preserve">B1</t>
        </is>
      </c>
      <c r="C248" t="inlineStr">
        <is>
          <t xml:space="preserve">work-study</t>
        </is>
      </c>
      <c r="D248" t="inlineStr">
        <is>
          <t xml:space="preserve">—</t>
        </is>
      </c>
      <c r="E248" s="3" t="inlineStr">
        <is>
          <t xml:space="preserve">employment</t>
        </is>
      </c>
      <c r="F248" s="3" t="inlineStr">
        <is>
          <t xml:space="preserve">việc làm có trả công</t>
        </is>
      </c>
      <c r="H248" s="3" t="inlineStr">
        <is>
          <t xml:space="preserve">He found employment at a local factory.</t>
        </is>
      </c>
      <c r="I248" s="3" t="inlineStr">
        <is>
          <t xml:space="preserve">gain employment, a period of employment</t>
        </is>
      </c>
      <c r="J248" t="inlineStr">
        <is>
          <t xml:space="preserve">src/content/vocabulary/b1/work-study.json</t>
        </is>
      </c>
      <c r="K248" s="2">
        <v>46413</v>
      </c>
      <c r="L248">
        <f>IF($K248="","",IF($K248=TODAY(),COUNTIF($K$2:$K248,TODAY()),""))</f>
      </c>
    </row>
    <row r="249">
      <c r="A249" t="inlineStr">
        <is>
          <t xml:space="preserve">b1_work_012</t>
        </is>
      </c>
      <c r="B249" t="inlineStr">
        <is>
          <t xml:space="preserve">B1</t>
        </is>
      </c>
      <c r="C249" t="inlineStr">
        <is>
          <t xml:space="preserve">work-study</t>
        </is>
      </c>
      <c r="D249" t="inlineStr">
        <is>
          <t xml:space="preserve">—</t>
        </is>
      </c>
      <c r="E249" s="3" t="inlineStr">
        <is>
          <t xml:space="preserve">unemployment</t>
        </is>
      </c>
      <c r="F249" s="3" t="inlineStr">
        <is>
          <t xml:space="preserve">tình trạng thất nghiệp</t>
        </is>
      </c>
      <c r="H249" s="3" t="inlineStr">
        <is>
          <t xml:space="preserve">Unemployment fell slightly last quarter.</t>
        </is>
      </c>
      <c r="I249" s="3" t="inlineStr">
        <is>
          <t xml:space="preserve">a rise in unemployment, unemployment benefits</t>
        </is>
      </c>
      <c r="J249" t="inlineStr">
        <is>
          <t xml:space="preserve">src/content/vocabulary/b1/work-study.json</t>
        </is>
      </c>
      <c r="K249" s="2">
        <v>46413</v>
      </c>
      <c r="L249">
        <f>IF($K249="","",IF($K249=TODAY(),COUNTIF($K$2:$K249,TODAY()),""))</f>
      </c>
    </row>
  </sheetData>
  <autoFilter ref="A1:L249"/>
  <pageMargins left="0.4" right="0.4" top="0.6" bottom="0.6" header="0.3" footer="0.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16" customWidth="1"/>
    <col min="3" max="3" width="24" customWidth="1"/>
    <col min="4" max="4" width="36" customWidth="1"/>
    <col min="5" max="5" width="11" customWidth="1"/>
    <col min="6" max="6" width="12" customWidth="1"/>
    <col min="7" max="7" width="15" customWidth="1"/>
    <col min="8" max="8" width="13" customWidth="1"/>
    <col min="9" max="9" width="12" customWidth="1"/>
    <col min="10" max="10" width="10" customWidth="1"/>
    <col min="11" max="11" width="30" customWidth="1"/>
  </cols>
  <sheetData>
    <row r="1">
      <c r="A1" s="1" t="inlineStr">
        <is>
          <t xml:space="preserve">ID</t>
        </is>
      </c>
      <c r="B1" s="1" t="inlineStr">
        <is>
          <t xml:space="preserve">Từ</t>
        </is>
      </c>
      <c r="C1" s="1" t="inlineStr">
        <is>
          <t xml:space="preserve">Nghĩa VI</t>
        </is>
      </c>
      <c r="D1" s="1" t="inlineStr">
        <is>
          <t xml:space="preserve">Ví dụ</t>
        </is>
      </c>
      <c r="E1" s="1" t="inlineStr">
        <is>
          <t xml:space="preserve">Mastery 0-5</t>
        </is>
      </c>
      <c r="F1" s="1" t="inlineStr">
        <is>
          <t xml:space="preserve">Số lần đúng</t>
        </is>
      </c>
      <c r="G1" s="1" t="inlineStr">
        <is>
          <t xml:space="preserve">Ngày ôn gần nhất</t>
        </is>
      </c>
      <c r="H1" s="1" t="inlineStr">
        <is>
          <t xml:space="preserve">Ngày ôn tới</t>
        </is>
      </c>
      <c r="I1" s="1" t="inlineStr">
        <is>
          <t xml:space="preserve">Trạng thái</t>
        </is>
      </c>
      <c r="J1" s="1" t="inlineStr">
        <is>
          <t xml:space="preserve">Thứ tự đến hạn</t>
        </is>
      </c>
      <c r="K1" s="1" t="inlineStr">
        <is>
          <t xml:space="preserve">Ghi chú</t>
        </is>
      </c>
    </row>
    <row r="2">
      <c r="A2" t="inlineStr">
        <is>
          <t xml:space="preserve">a0_alpha_001</t>
        </is>
      </c>
      <c r="B2">
        <f>IFERROR(VLOOKUP($A2,VOCAB!$A$2:$L$1500,5,FALSE),"")</f>
      </c>
      <c r="C2">
        <f>IFERROR(VLOOKUP($A2,VOCAB!$A$2:$L$1500,6,FALSE),"")</f>
      </c>
      <c r="D2">
        <f>IFERROR(VLOOKUP($A2,VOCAB!$A$2:$L$1500,8,FALSE),"")</f>
      </c>
      <c r="E2" s="4"/>
      <c r="F2" s="4"/>
      <c r="G2" s="4"/>
      <c r="H2">
        <f>IF($G2="","",$G2+IF($E2=0,1,IF($E2=1,1,IF($E2=2,2,IF($E2=3,4,IF($E2=4,7,14))))))</f>
      </c>
      <c r="I2">
        <f>IF($G2="","Mới",IF($H2&lt;=TODAY(),"ĐẾN HẠN","Lịch"))</f>
      </c>
      <c r="J2">
        <f>IF($I2="ĐẾN HẠN",COUNTIF($I$2:$I2,"ĐẾN HẠN"),"")</f>
      </c>
      <c r="K2" s="4"/>
    </row>
    <row r="3">
      <c r="A3" t="inlineStr">
        <is>
          <t xml:space="preserve">a0_alpha_002</t>
        </is>
      </c>
      <c r="B3">
        <f>IFERROR(VLOOKUP($A3,VOCAB!$A$2:$L$1500,5,FALSE),"")</f>
      </c>
      <c r="C3">
        <f>IFERROR(VLOOKUP($A3,VOCAB!$A$2:$L$1500,6,FALSE),"")</f>
      </c>
      <c r="D3">
        <f>IFERROR(VLOOKUP($A3,VOCAB!$A$2:$L$1500,8,FALSE),"")</f>
      </c>
      <c r="E3" s="4"/>
      <c r="F3" s="4"/>
      <c r="G3" s="4"/>
      <c r="H3">
        <f>IF($G3="","",$G3+IF($E3=0,1,IF($E3=1,1,IF($E3=2,2,IF($E3=3,4,IF($E3=4,7,14))))))</f>
      </c>
      <c r="I3">
        <f>IF($G3="","Mới",IF($H3&lt;=TODAY(),"ĐẾN HẠN","Lịch"))</f>
      </c>
      <c r="J3">
        <f>IF($I3="ĐẾN HẠN",COUNTIF($I$2:$I3,"ĐẾN HẠN"),"")</f>
      </c>
      <c r="K3" s="4"/>
    </row>
    <row r="4">
      <c r="A4" t="inlineStr">
        <is>
          <t xml:space="preserve">a0_alpha_003</t>
        </is>
      </c>
      <c r="B4">
        <f>IFERROR(VLOOKUP($A4,VOCAB!$A$2:$L$1500,5,FALSE),"")</f>
      </c>
      <c r="C4">
        <f>IFERROR(VLOOKUP($A4,VOCAB!$A$2:$L$1500,6,FALSE),"")</f>
      </c>
      <c r="D4">
        <f>IFERROR(VLOOKUP($A4,VOCAB!$A$2:$L$1500,8,FALSE),"")</f>
      </c>
      <c r="E4" s="4"/>
      <c r="F4" s="4"/>
      <c r="G4" s="4"/>
      <c r="H4">
        <f>IF($G4="","",$G4+IF($E4=0,1,IF($E4=1,1,IF($E4=2,2,IF($E4=3,4,IF($E4=4,7,14))))))</f>
      </c>
      <c r="I4">
        <f>IF($G4="","Mới",IF($H4&lt;=TODAY(),"ĐẾN HẠN","Lịch"))</f>
      </c>
      <c r="J4">
        <f>IF($I4="ĐẾN HẠN",COUNTIF($I$2:$I4,"ĐẾN HẠN"),"")</f>
      </c>
      <c r="K4" s="4"/>
    </row>
    <row r="5">
      <c r="A5" t="inlineStr">
        <is>
          <t xml:space="preserve">a0_alpha_004</t>
        </is>
      </c>
      <c r="B5">
        <f>IFERROR(VLOOKUP($A5,VOCAB!$A$2:$L$1500,5,FALSE),"")</f>
      </c>
      <c r="C5">
        <f>IFERROR(VLOOKUP($A5,VOCAB!$A$2:$L$1500,6,FALSE),"")</f>
      </c>
      <c r="D5">
        <f>IFERROR(VLOOKUP($A5,VOCAB!$A$2:$L$1500,8,FALSE),"")</f>
      </c>
      <c r="E5" s="4"/>
      <c r="F5" s="4"/>
      <c r="G5" s="4"/>
      <c r="H5">
        <f>IF($G5="","",$G5+IF($E5=0,1,IF($E5=1,1,IF($E5=2,2,IF($E5=3,4,IF($E5=4,7,14))))))</f>
      </c>
      <c r="I5">
        <f>IF($G5="","Mới",IF($H5&lt;=TODAY(),"ĐẾN HẠN","Lịch"))</f>
      </c>
      <c r="J5">
        <f>IF($I5="ĐẾN HẠN",COUNTIF($I$2:$I5,"ĐẾN HẠN"),"")</f>
      </c>
      <c r="K5" s="4"/>
    </row>
    <row r="6">
      <c r="A6" t="inlineStr">
        <is>
          <t xml:space="preserve">a0_alpha_005</t>
        </is>
      </c>
      <c r="B6">
        <f>IFERROR(VLOOKUP($A6,VOCAB!$A$2:$L$1500,5,FALSE),"")</f>
      </c>
      <c r="C6">
        <f>IFERROR(VLOOKUP($A6,VOCAB!$A$2:$L$1500,6,FALSE),"")</f>
      </c>
      <c r="D6">
        <f>IFERROR(VLOOKUP($A6,VOCAB!$A$2:$L$1500,8,FALSE),"")</f>
      </c>
      <c r="E6" s="4"/>
      <c r="F6" s="4"/>
      <c r="G6" s="4"/>
      <c r="H6">
        <f>IF($G6="","",$G6+IF($E6=0,1,IF($E6=1,1,IF($E6=2,2,IF($E6=3,4,IF($E6=4,7,14))))))</f>
      </c>
      <c r="I6">
        <f>IF($G6="","Mới",IF($H6&lt;=TODAY(),"ĐẾN HẠN","Lịch"))</f>
      </c>
      <c r="J6">
        <f>IF($I6="ĐẾN HẠN",COUNTIF($I$2:$I6,"ĐẾN HẠN"),"")</f>
      </c>
      <c r="K6" s="4"/>
    </row>
    <row r="7">
      <c r="A7" t="inlineStr">
        <is>
          <t xml:space="preserve">a0_alpha_006</t>
        </is>
      </c>
      <c r="B7">
        <f>IFERROR(VLOOKUP($A7,VOCAB!$A$2:$L$1500,5,FALSE),"")</f>
      </c>
      <c r="C7">
        <f>IFERROR(VLOOKUP($A7,VOCAB!$A$2:$L$1500,6,FALSE),"")</f>
      </c>
      <c r="D7">
        <f>IFERROR(VLOOKUP($A7,VOCAB!$A$2:$L$1500,8,FALSE),"")</f>
      </c>
      <c r="E7" s="4"/>
      <c r="F7" s="4"/>
      <c r="G7" s="4"/>
      <c r="H7">
        <f>IF($G7="","",$G7+IF($E7=0,1,IF($E7=1,1,IF($E7=2,2,IF($E7=3,4,IF($E7=4,7,14))))))</f>
      </c>
      <c r="I7">
        <f>IF($G7="","Mới",IF($H7&lt;=TODAY(),"ĐẾN HẠN","Lịch"))</f>
      </c>
      <c r="J7">
        <f>IF($I7="ĐẾN HẠN",COUNTIF($I$2:$I7,"ĐẾN HẠN"),"")</f>
      </c>
      <c r="K7" s="4"/>
    </row>
    <row r="8">
      <c r="A8" t="inlineStr">
        <is>
          <t xml:space="preserve">a0_alpha_007</t>
        </is>
      </c>
      <c r="B8">
        <f>IFERROR(VLOOKUP($A8,VOCAB!$A$2:$L$1500,5,FALSE),"")</f>
      </c>
      <c r="C8">
        <f>IFERROR(VLOOKUP($A8,VOCAB!$A$2:$L$1500,6,FALSE),"")</f>
      </c>
      <c r="D8">
        <f>IFERROR(VLOOKUP($A8,VOCAB!$A$2:$L$1500,8,FALSE),"")</f>
      </c>
      <c r="E8" s="4"/>
      <c r="F8" s="4"/>
      <c r="G8" s="4"/>
      <c r="H8">
        <f>IF($G8="","",$G8+IF($E8=0,1,IF($E8=1,1,IF($E8=2,2,IF($E8=3,4,IF($E8=4,7,14))))))</f>
      </c>
      <c r="I8">
        <f>IF($G8="","Mới",IF($H8&lt;=TODAY(),"ĐẾN HẠN","Lịch"))</f>
      </c>
      <c r="J8">
        <f>IF($I8="ĐẾN HẠN",COUNTIF($I$2:$I8,"ĐẾN HẠN"),"")</f>
      </c>
      <c r="K8" s="4"/>
    </row>
    <row r="9">
      <c r="A9" t="inlineStr">
        <is>
          <t xml:space="preserve">a0_alpha_008</t>
        </is>
      </c>
      <c r="B9">
        <f>IFERROR(VLOOKUP($A9,VOCAB!$A$2:$L$1500,5,FALSE),"")</f>
      </c>
      <c r="C9">
        <f>IFERROR(VLOOKUP($A9,VOCAB!$A$2:$L$1500,6,FALSE),"")</f>
      </c>
      <c r="D9">
        <f>IFERROR(VLOOKUP($A9,VOCAB!$A$2:$L$1500,8,FALSE),"")</f>
      </c>
      <c r="E9" s="4"/>
      <c r="F9" s="4"/>
      <c r="G9" s="4"/>
      <c r="H9">
        <f>IF($G9="","",$G9+IF($E9=0,1,IF($E9=1,1,IF($E9=2,2,IF($E9=3,4,IF($E9=4,7,14))))))</f>
      </c>
      <c r="I9">
        <f>IF($G9="","Mới",IF($H9&lt;=TODAY(),"ĐẾN HẠN","Lịch"))</f>
      </c>
      <c r="J9">
        <f>IF($I9="ĐẾN HẠN",COUNTIF($I$2:$I9,"ĐẾN HẠN"),"")</f>
      </c>
      <c r="K9" s="4"/>
    </row>
    <row r="10">
      <c r="A10" t="inlineStr">
        <is>
          <t xml:space="preserve">a0_alpha_009</t>
        </is>
      </c>
      <c r="B10">
        <f>IFERROR(VLOOKUP($A10,VOCAB!$A$2:$L$1500,5,FALSE),"")</f>
      </c>
      <c r="C10">
        <f>IFERROR(VLOOKUP($A10,VOCAB!$A$2:$L$1500,6,FALSE),"")</f>
      </c>
      <c r="D10">
        <f>IFERROR(VLOOKUP($A10,VOCAB!$A$2:$L$1500,8,FALSE),"")</f>
      </c>
      <c r="E10" s="4"/>
      <c r="F10" s="4"/>
      <c r="G10" s="4"/>
      <c r="H10">
        <f>IF($G10="","",$G10+IF($E10=0,1,IF($E10=1,1,IF($E10=2,2,IF($E10=3,4,IF($E10=4,7,14))))))</f>
      </c>
      <c r="I10">
        <f>IF($G10="","Mới",IF($H10&lt;=TODAY(),"ĐẾN HẠN","Lịch"))</f>
      </c>
      <c r="J10">
        <f>IF($I10="ĐẾN HẠN",COUNTIF($I$2:$I10,"ĐẾN HẠN"),"")</f>
      </c>
      <c r="K10" s="4"/>
    </row>
    <row r="11">
      <c r="A11" t="inlineStr">
        <is>
          <t xml:space="preserve">a0_alpha_010</t>
        </is>
      </c>
      <c r="B11">
        <f>IFERROR(VLOOKUP($A11,VOCAB!$A$2:$L$1500,5,FALSE),"")</f>
      </c>
      <c r="C11">
        <f>IFERROR(VLOOKUP($A11,VOCAB!$A$2:$L$1500,6,FALSE),"")</f>
      </c>
      <c r="D11">
        <f>IFERROR(VLOOKUP($A11,VOCAB!$A$2:$L$1500,8,FALSE),"")</f>
      </c>
      <c r="E11" s="4"/>
      <c r="F11" s="4"/>
      <c r="G11" s="4"/>
      <c r="H11">
        <f>IF($G11="","",$G11+IF($E11=0,1,IF($E11=1,1,IF($E11=2,2,IF($E11=3,4,IF($E11=4,7,14))))))</f>
      </c>
      <c r="I11">
        <f>IF($G11="","Mới",IF($H11&lt;=TODAY(),"ĐẾN HẠN","Lịch"))</f>
      </c>
      <c r="J11">
        <f>IF($I11="ĐẾN HẠN",COUNTIF($I$2:$I11,"ĐẾN HẠN"),"")</f>
      </c>
      <c r="K11" s="4"/>
    </row>
    <row r="12">
      <c r="A12" t="inlineStr">
        <is>
          <t xml:space="preserve">a0_sound_011</t>
        </is>
      </c>
      <c r="B12">
        <f>IFERROR(VLOOKUP($A12,VOCAB!$A$2:$L$1500,5,FALSE),"")</f>
      </c>
      <c r="C12">
        <f>IFERROR(VLOOKUP($A12,VOCAB!$A$2:$L$1500,6,FALSE),"")</f>
      </c>
      <c r="D12">
        <f>IFERROR(VLOOKUP($A12,VOCAB!$A$2:$L$1500,8,FALSE),"")</f>
      </c>
      <c r="E12" s="4"/>
      <c r="F12" s="4"/>
      <c r="G12" s="4"/>
      <c r="H12">
        <f>IF($G12="","",$G12+IF($E12=0,1,IF($E12=1,1,IF($E12=2,2,IF($E12=3,4,IF($E12=4,7,14))))))</f>
      </c>
      <c r="I12">
        <f>IF($G12="","Mới",IF($H12&lt;=TODAY(),"ĐẾN HẠN","Lịch"))</f>
      </c>
      <c r="J12">
        <f>IF($I12="ĐẾN HẠN",COUNTIF($I$2:$I12,"ĐẾN HẠN"),"")</f>
      </c>
      <c r="K12" s="4"/>
    </row>
    <row r="13">
      <c r="A13" t="inlineStr">
        <is>
          <t xml:space="preserve">a0_sound_012</t>
        </is>
      </c>
      <c r="B13">
        <f>IFERROR(VLOOKUP($A13,VOCAB!$A$2:$L$1500,5,FALSE),"")</f>
      </c>
      <c r="C13">
        <f>IFERROR(VLOOKUP($A13,VOCAB!$A$2:$L$1500,6,FALSE),"")</f>
      </c>
      <c r="D13">
        <f>IFERROR(VLOOKUP($A13,VOCAB!$A$2:$L$1500,8,FALSE),"")</f>
      </c>
      <c r="E13" s="4"/>
      <c r="F13" s="4"/>
      <c r="G13" s="4"/>
      <c r="H13">
        <f>IF($G13="","",$G13+IF($E13=0,1,IF($E13=1,1,IF($E13=2,2,IF($E13=3,4,IF($E13=4,7,14))))))</f>
      </c>
      <c r="I13">
        <f>IF($G13="","Mới",IF($H13&lt;=TODAY(),"ĐẾN HẠN","Lịch"))</f>
      </c>
      <c r="J13">
        <f>IF($I13="ĐẾN HẠN",COUNTIF($I$2:$I13,"ĐẾN HẠN"),"")</f>
      </c>
      <c r="K13" s="4"/>
    </row>
    <row r="14">
      <c r="A14" t="inlineStr">
        <is>
          <t xml:space="preserve">a0_sound_013</t>
        </is>
      </c>
      <c r="B14">
        <f>IFERROR(VLOOKUP($A14,VOCAB!$A$2:$L$1500,5,FALSE),"")</f>
      </c>
      <c r="C14">
        <f>IFERROR(VLOOKUP($A14,VOCAB!$A$2:$L$1500,6,FALSE),"")</f>
      </c>
      <c r="D14">
        <f>IFERROR(VLOOKUP($A14,VOCAB!$A$2:$L$1500,8,FALSE),"")</f>
      </c>
      <c r="E14" s="4"/>
      <c r="F14" s="4"/>
      <c r="G14" s="4"/>
      <c r="H14">
        <f>IF($G14="","",$G14+IF($E14=0,1,IF($E14=1,1,IF($E14=2,2,IF($E14=3,4,IF($E14=4,7,14))))))</f>
      </c>
      <c r="I14">
        <f>IF($G14="","Mới",IF($H14&lt;=TODAY(),"ĐẾN HẠN","Lịch"))</f>
      </c>
      <c r="J14">
        <f>IF($I14="ĐẾN HẠN",COUNTIF($I$2:$I14,"ĐẾN HẠN"),"")</f>
      </c>
      <c r="K14" s="4"/>
    </row>
    <row r="15">
      <c r="A15" t="inlineStr">
        <is>
          <t xml:space="preserve">a0_sound_014</t>
        </is>
      </c>
      <c r="B15">
        <f>IFERROR(VLOOKUP($A15,VOCAB!$A$2:$L$1500,5,FALSE),"")</f>
      </c>
      <c r="C15">
        <f>IFERROR(VLOOKUP($A15,VOCAB!$A$2:$L$1500,6,FALSE),"")</f>
      </c>
      <c r="D15">
        <f>IFERROR(VLOOKUP($A15,VOCAB!$A$2:$L$1500,8,FALSE),"")</f>
      </c>
      <c r="E15" s="4"/>
      <c r="F15" s="4"/>
      <c r="G15" s="4"/>
      <c r="H15">
        <f>IF($G15="","",$G15+IF($E15=0,1,IF($E15=1,1,IF($E15=2,2,IF($E15=3,4,IF($E15=4,7,14))))))</f>
      </c>
      <c r="I15">
        <f>IF($G15="","Mới",IF($H15&lt;=TODAY(),"ĐẾN HẠN","Lịch"))</f>
      </c>
      <c r="J15">
        <f>IF($I15="ĐẾN HẠN",COUNTIF($I$2:$I15,"ĐẾN HẠN"),"")</f>
      </c>
      <c r="K15" s="4"/>
    </row>
    <row r="16">
      <c r="A16" t="inlineStr">
        <is>
          <t xml:space="preserve">a0_sound_015</t>
        </is>
      </c>
      <c r="B16">
        <f>IFERROR(VLOOKUP($A16,VOCAB!$A$2:$L$1500,5,FALSE),"")</f>
      </c>
      <c r="C16">
        <f>IFERROR(VLOOKUP($A16,VOCAB!$A$2:$L$1500,6,FALSE),"")</f>
      </c>
      <c r="D16">
        <f>IFERROR(VLOOKUP($A16,VOCAB!$A$2:$L$1500,8,FALSE),"")</f>
      </c>
      <c r="E16" s="4"/>
      <c r="F16" s="4"/>
      <c r="G16" s="4"/>
      <c r="H16">
        <f>IF($G16="","",$G16+IF($E16=0,1,IF($E16=1,1,IF($E16=2,2,IF($E16=3,4,IF($E16=4,7,14))))))</f>
      </c>
      <c r="I16">
        <f>IF($G16="","Mới",IF($H16&lt;=TODAY(),"ĐẾN HẠN","Lịch"))</f>
      </c>
      <c r="J16">
        <f>IF($I16="ĐẾN HẠN",COUNTIF($I$2:$I16,"ĐẾN HẠN"),"")</f>
      </c>
      <c r="K16" s="4"/>
    </row>
    <row r="17">
      <c r="A17" t="inlineStr">
        <is>
          <t xml:space="preserve">a0_sound_016</t>
        </is>
      </c>
      <c r="B17">
        <f>IFERROR(VLOOKUP($A17,VOCAB!$A$2:$L$1500,5,FALSE),"")</f>
      </c>
      <c r="C17">
        <f>IFERROR(VLOOKUP($A17,VOCAB!$A$2:$L$1500,6,FALSE),"")</f>
      </c>
      <c r="D17">
        <f>IFERROR(VLOOKUP($A17,VOCAB!$A$2:$L$1500,8,FALSE),"")</f>
      </c>
      <c r="E17" s="4"/>
      <c r="F17" s="4"/>
      <c r="G17" s="4"/>
      <c r="H17">
        <f>IF($G17="","",$G17+IF($E17=0,1,IF($E17=1,1,IF($E17=2,2,IF($E17=3,4,IF($E17=4,7,14))))))</f>
      </c>
      <c r="I17">
        <f>IF($G17="","Mới",IF($H17&lt;=TODAY(),"ĐẾN HẠN","Lịch"))</f>
      </c>
      <c r="J17">
        <f>IF($I17="ĐẾN HẠN",COUNTIF($I$2:$I17,"ĐẾN HẠN"),"")</f>
      </c>
      <c r="K17" s="4"/>
    </row>
    <row r="18">
      <c r="A18" t="inlineStr">
        <is>
          <t xml:space="preserve">a0_sound_017</t>
        </is>
      </c>
      <c r="B18">
        <f>IFERROR(VLOOKUP($A18,VOCAB!$A$2:$L$1500,5,FALSE),"")</f>
      </c>
      <c r="C18">
        <f>IFERROR(VLOOKUP($A18,VOCAB!$A$2:$L$1500,6,FALSE),"")</f>
      </c>
      <c r="D18">
        <f>IFERROR(VLOOKUP($A18,VOCAB!$A$2:$L$1500,8,FALSE),"")</f>
      </c>
      <c r="E18" s="4"/>
      <c r="F18" s="4"/>
      <c r="G18" s="4"/>
      <c r="H18">
        <f>IF($G18="","",$G18+IF($E18=0,1,IF($E18=1,1,IF($E18=2,2,IF($E18=3,4,IF($E18=4,7,14))))))</f>
      </c>
      <c r="I18">
        <f>IF($G18="","Mới",IF($H18&lt;=TODAY(),"ĐẾN HẠN","Lịch"))</f>
      </c>
      <c r="J18">
        <f>IF($I18="ĐẾN HẠN",COUNTIF($I$2:$I18,"ĐẾN HẠN"),"")</f>
      </c>
      <c r="K18" s="4"/>
    </row>
    <row r="19">
      <c r="A19" t="inlineStr">
        <is>
          <t xml:space="preserve">a0_sound_018</t>
        </is>
      </c>
      <c r="B19">
        <f>IFERROR(VLOOKUP($A19,VOCAB!$A$2:$L$1500,5,FALSE),"")</f>
      </c>
      <c r="C19">
        <f>IFERROR(VLOOKUP($A19,VOCAB!$A$2:$L$1500,6,FALSE),"")</f>
      </c>
      <c r="D19">
        <f>IFERROR(VLOOKUP($A19,VOCAB!$A$2:$L$1500,8,FALSE),"")</f>
      </c>
      <c r="E19" s="4"/>
      <c r="F19" s="4"/>
      <c r="G19" s="4"/>
      <c r="H19">
        <f>IF($G19="","",$G19+IF($E19=0,1,IF($E19=1,1,IF($E19=2,2,IF($E19=3,4,IF($E19=4,7,14))))))</f>
      </c>
      <c r="I19">
        <f>IF($G19="","Mới",IF($H19&lt;=TODAY(),"ĐẾN HẠN","Lịch"))</f>
      </c>
      <c r="J19">
        <f>IF($I19="ĐẾN HẠN",COUNTIF($I$2:$I19,"ĐẾN HẠN"),"")</f>
      </c>
      <c r="K19" s="4"/>
    </row>
    <row r="20">
      <c r="A20" t="inlineStr">
        <is>
          <t xml:space="preserve">a0_num_019</t>
        </is>
      </c>
      <c r="B20">
        <f>IFERROR(VLOOKUP($A20,VOCAB!$A$2:$L$1500,5,FALSE),"")</f>
      </c>
      <c r="C20">
        <f>IFERROR(VLOOKUP($A20,VOCAB!$A$2:$L$1500,6,FALSE),"")</f>
      </c>
      <c r="D20">
        <f>IFERROR(VLOOKUP($A20,VOCAB!$A$2:$L$1500,8,FALSE),"")</f>
      </c>
      <c r="E20" s="4"/>
      <c r="F20" s="4"/>
      <c r="G20" s="4"/>
      <c r="H20">
        <f>IF($G20="","",$G20+IF($E20=0,1,IF($E20=1,1,IF($E20=2,2,IF($E20=3,4,IF($E20=4,7,14))))))</f>
      </c>
      <c r="I20">
        <f>IF($G20="","Mới",IF($H20&lt;=TODAY(),"ĐẾN HẠN","Lịch"))</f>
      </c>
      <c r="J20">
        <f>IF($I20="ĐẾN HẠN",COUNTIF($I$2:$I20,"ĐẾN HẠN"),"")</f>
      </c>
      <c r="K20" s="4"/>
    </row>
    <row r="21">
      <c r="A21" t="inlineStr">
        <is>
          <t xml:space="preserve">a0_num_020</t>
        </is>
      </c>
      <c r="B21">
        <f>IFERROR(VLOOKUP($A21,VOCAB!$A$2:$L$1500,5,FALSE),"")</f>
      </c>
      <c r="C21">
        <f>IFERROR(VLOOKUP($A21,VOCAB!$A$2:$L$1500,6,FALSE),"")</f>
      </c>
      <c r="D21">
        <f>IFERROR(VLOOKUP($A21,VOCAB!$A$2:$L$1500,8,FALSE),"")</f>
      </c>
      <c r="E21" s="4"/>
      <c r="F21" s="4"/>
      <c r="G21" s="4"/>
      <c r="H21">
        <f>IF($G21="","",$G21+IF($E21=0,1,IF($E21=1,1,IF($E21=2,2,IF($E21=3,4,IF($E21=4,7,14))))))</f>
      </c>
      <c r="I21">
        <f>IF($G21="","Mới",IF($H21&lt;=TODAY(),"ĐẾN HẠN","Lịch"))</f>
      </c>
      <c r="J21">
        <f>IF($I21="ĐẾN HẠN",COUNTIF($I$2:$I21,"ĐẾN HẠN"),"")</f>
      </c>
      <c r="K21" s="4"/>
    </row>
    <row r="22">
      <c r="A22" t="inlineStr">
        <is>
          <t xml:space="preserve">a0_num_021</t>
        </is>
      </c>
      <c r="B22">
        <f>IFERROR(VLOOKUP($A22,VOCAB!$A$2:$L$1500,5,FALSE),"")</f>
      </c>
      <c r="C22">
        <f>IFERROR(VLOOKUP($A22,VOCAB!$A$2:$L$1500,6,FALSE),"")</f>
      </c>
      <c r="D22">
        <f>IFERROR(VLOOKUP($A22,VOCAB!$A$2:$L$1500,8,FALSE),"")</f>
      </c>
      <c r="E22" s="4"/>
      <c r="F22" s="4"/>
      <c r="G22" s="4"/>
      <c r="H22">
        <f>IF($G22="","",$G22+IF($E22=0,1,IF($E22=1,1,IF($E22=2,2,IF($E22=3,4,IF($E22=4,7,14))))))</f>
      </c>
      <c r="I22">
        <f>IF($G22="","Mới",IF($H22&lt;=TODAY(),"ĐẾN HẠN","Lịch"))</f>
      </c>
      <c r="J22">
        <f>IF($I22="ĐẾN HẠN",COUNTIF($I$2:$I22,"ĐẾN HẠN"),"")</f>
      </c>
      <c r="K22" s="4"/>
    </row>
    <row r="23">
      <c r="A23" t="inlineStr">
        <is>
          <t xml:space="preserve">a0_num_022</t>
        </is>
      </c>
      <c r="B23">
        <f>IFERROR(VLOOKUP($A23,VOCAB!$A$2:$L$1500,5,FALSE),"")</f>
      </c>
      <c r="C23">
        <f>IFERROR(VLOOKUP($A23,VOCAB!$A$2:$L$1500,6,FALSE),"")</f>
      </c>
      <c r="D23">
        <f>IFERROR(VLOOKUP($A23,VOCAB!$A$2:$L$1500,8,FALSE),"")</f>
      </c>
      <c r="E23" s="4"/>
      <c r="F23" s="4"/>
      <c r="G23" s="4"/>
      <c r="H23">
        <f>IF($G23="","",$G23+IF($E23=0,1,IF($E23=1,1,IF($E23=2,2,IF($E23=3,4,IF($E23=4,7,14))))))</f>
      </c>
      <c r="I23">
        <f>IF($G23="","Mới",IF($H23&lt;=TODAY(),"ĐẾN HẠN","Lịch"))</f>
      </c>
      <c r="J23">
        <f>IF($I23="ĐẾN HẠN",COUNTIF($I$2:$I23,"ĐẾN HẠN"),"")</f>
      </c>
      <c r="K23" s="4"/>
    </row>
    <row r="24">
      <c r="A24" t="inlineStr">
        <is>
          <t xml:space="preserve">a0_num_023</t>
        </is>
      </c>
      <c r="B24">
        <f>IFERROR(VLOOKUP($A24,VOCAB!$A$2:$L$1500,5,FALSE),"")</f>
      </c>
      <c r="C24">
        <f>IFERROR(VLOOKUP($A24,VOCAB!$A$2:$L$1500,6,FALSE),"")</f>
      </c>
      <c r="D24">
        <f>IFERROR(VLOOKUP($A24,VOCAB!$A$2:$L$1500,8,FALSE),"")</f>
      </c>
      <c r="E24" s="4"/>
      <c r="F24" s="4"/>
      <c r="G24" s="4"/>
      <c r="H24">
        <f>IF($G24="","",$G24+IF($E24=0,1,IF($E24=1,1,IF($E24=2,2,IF($E24=3,4,IF($E24=4,7,14))))))</f>
      </c>
      <c r="I24">
        <f>IF($G24="","Mới",IF($H24&lt;=TODAY(),"ĐẾN HẠN","Lịch"))</f>
      </c>
      <c r="J24">
        <f>IF($I24="ĐẾN HẠN",COUNTIF($I$2:$I24,"ĐẾN HẠN"),"")</f>
      </c>
      <c r="K24" s="4"/>
    </row>
    <row r="25">
      <c r="A25" t="inlineStr">
        <is>
          <t xml:space="preserve">a0_num_024</t>
        </is>
      </c>
      <c r="B25">
        <f>IFERROR(VLOOKUP($A25,VOCAB!$A$2:$L$1500,5,FALSE),"")</f>
      </c>
      <c r="C25">
        <f>IFERROR(VLOOKUP($A25,VOCAB!$A$2:$L$1500,6,FALSE),"")</f>
      </c>
      <c r="D25">
        <f>IFERROR(VLOOKUP($A25,VOCAB!$A$2:$L$1500,8,FALSE),"")</f>
      </c>
      <c r="E25" s="4"/>
      <c r="F25" s="4"/>
      <c r="G25" s="4"/>
      <c r="H25">
        <f>IF($G25="","",$G25+IF($E25=0,1,IF($E25=1,1,IF($E25=2,2,IF($E25=3,4,IF($E25=4,7,14))))))</f>
      </c>
      <c r="I25">
        <f>IF($G25="","Mới",IF($H25&lt;=TODAY(),"ĐẾN HẠN","Lịch"))</f>
      </c>
      <c r="J25">
        <f>IF($I25="ĐẾN HẠN",COUNTIF($I$2:$I25,"ĐẾN HẠN"),"")</f>
      </c>
      <c r="K25" s="4"/>
    </row>
    <row r="26">
      <c r="A26" t="inlineStr">
        <is>
          <t xml:space="preserve">a0_num_025</t>
        </is>
      </c>
      <c r="B26">
        <f>IFERROR(VLOOKUP($A26,VOCAB!$A$2:$L$1500,5,FALSE),"")</f>
      </c>
      <c r="C26">
        <f>IFERROR(VLOOKUP($A26,VOCAB!$A$2:$L$1500,6,FALSE),"")</f>
      </c>
      <c r="D26">
        <f>IFERROR(VLOOKUP($A26,VOCAB!$A$2:$L$1500,8,FALSE),"")</f>
      </c>
      <c r="E26" s="4"/>
      <c r="F26" s="4"/>
      <c r="G26" s="4"/>
      <c r="H26">
        <f>IF($G26="","",$G26+IF($E26=0,1,IF($E26=1,1,IF($E26=2,2,IF($E26=3,4,IF($E26=4,7,14))))))</f>
      </c>
      <c r="I26">
        <f>IF($G26="","Mới",IF($H26&lt;=TODAY(),"ĐẾN HẠN","Lịch"))</f>
      </c>
      <c r="J26">
        <f>IF($I26="ĐẾN HẠN",COUNTIF($I$2:$I26,"ĐẾN HẠN"),"")</f>
      </c>
      <c r="K26" s="4"/>
    </row>
    <row r="27">
      <c r="A27" t="inlineStr">
        <is>
          <t xml:space="preserve">a0_num_026</t>
        </is>
      </c>
      <c r="B27">
        <f>IFERROR(VLOOKUP($A27,VOCAB!$A$2:$L$1500,5,FALSE),"")</f>
      </c>
      <c r="C27">
        <f>IFERROR(VLOOKUP($A27,VOCAB!$A$2:$L$1500,6,FALSE),"")</f>
      </c>
      <c r="D27">
        <f>IFERROR(VLOOKUP($A27,VOCAB!$A$2:$L$1500,8,FALSE),"")</f>
      </c>
      <c r="E27" s="4"/>
      <c r="F27" s="4"/>
      <c r="G27" s="4"/>
      <c r="H27">
        <f>IF($G27="","",$G27+IF($E27=0,1,IF($E27=1,1,IF($E27=2,2,IF($E27=3,4,IF($E27=4,7,14))))))</f>
      </c>
      <c r="I27">
        <f>IF($G27="","Mới",IF($H27&lt;=TODAY(),"ĐẾN HẠN","Lịch"))</f>
      </c>
      <c r="J27">
        <f>IF($I27="ĐẾN HẠN",COUNTIF($I$2:$I27,"ĐẾN HẠN"),"")</f>
      </c>
      <c r="K27" s="4"/>
    </row>
    <row r="28">
      <c r="A28" t="inlineStr">
        <is>
          <t xml:space="preserve">a0_num_027</t>
        </is>
      </c>
      <c r="B28">
        <f>IFERROR(VLOOKUP($A28,VOCAB!$A$2:$L$1500,5,FALSE),"")</f>
      </c>
      <c r="C28">
        <f>IFERROR(VLOOKUP($A28,VOCAB!$A$2:$L$1500,6,FALSE),"")</f>
      </c>
      <c r="D28">
        <f>IFERROR(VLOOKUP($A28,VOCAB!$A$2:$L$1500,8,FALSE),"")</f>
      </c>
      <c r="E28" s="4"/>
      <c r="F28" s="4"/>
      <c r="G28" s="4"/>
      <c r="H28">
        <f>IF($G28="","",$G28+IF($E28=0,1,IF($E28=1,1,IF($E28=2,2,IF($E28=3,4,IF($E28=4,7,14))))))</f>
      </c>
      <c r="I28">
        <f>IF($G28="","Mới",IF($H28&lt;=TODAY(),"ĐẾN HẠN","Lịch"))</f>
      </c>
      <c r="J28">
        <f>IF($I28="ĐẾN HẠN",COUNTIF($I$2:$I28,"ĐẾN HẠN"),"")</f>
      </c>
      <c r="K28" s="4"/>
    </row>
    <row r="29">
      <c r="A29" t="inlineStr">
        <is>
          <t xml:space="preserve">a0_num_028</t>
        </is>
      </c>
      <c r="B29">
        <f>IFERROR(VLOOKUP($A29,VOCAB!$A$2:$L$1500,5,FALSE),"")</f>
      </c>
      <c r="C29">
        <f>IFERROR(VLOOKUP($A29,VOCAB!$A$2:$L$1500,6,FALSE),"")</f>
      </c>
      <c r="D29">
        <f>IFERROR(VLOOKUP($A29,VOCAB!$A$2:$L$1500,8,FALSE),"")</f>
      </c>
      <c r="E29" s="4"/>
      <c r="F29" s="4"/>
      <c r="G29" s="4"/>
      <c r="H29">
        <f>IF($G29="","",$G29+IF($E29=0,1,IF($E29=1,1,IF($E29=2,2,IF($E29=3,4,IF($E29=4,7,14))))))</f>
      </c>
      <c r="I29">
        <f>IF($G29="","Mới",IF($H29&lt;=TODAY(),"ĐẾN HẠN","Lịch"))</f>
      </c>
      <c r="J29">
        <f>IF($I29="ĐẾN HẠN",COUNTIF($I$2:$I29,"ĐẾN HẠN"),"")</f>
      </c>
      <c r="K29" s="4"/>
    </row>
    <row r="30">
      <c r="A30" t="inlineStr">
        <is>
          <t xml:space="preserve">a0_num_029</t>
        </is>
      </c>
      <c r="B30">
        <f>IFERROR(VLOOKUP($A30,VOCAB!$A$2:$L$1500,5,FALSE),"")</f>
      </c>
      <c r="C30">
        <f>IFERROR(VLOOKUP($A30,VOCAB!$A$2:$L$1500,6,FALSE),"")</f>
      </c>
      <c r="D30">
        <f>IFERROR(VLOOKUP($A30,VOCAB!$A$2:$L$1500,8,FALSE),"")</f>
      </c>
      <c r="E30" s="4"/>
      <c r="F30" s="4"/>
      <c r="G30" s="4"/>
      <c r="H30">
        <f>IF($G30="","",$G30+IF($E30=0,1,IF($E30=1,1,IF($E30=2,2,IF($E30=3,4,IF($E30=4,7,14))))))</f>
      </c>
      <c r="I30">
        <f>IF($G30="","Mới",IF($H30&lt;=TODAY(),"ĐẾN HẠN","Lịch"))</f>
      </c>
      <c r="J30">
        <f>IF($I30="ĐẾN HẠN",COUNTIF($I$2:$I30,"ĐẾN HẠN"),"")</f>
      </c>
      <c r="K30" s="4"/>
    </row>
    <row r="31">
      <c r="A31" t="inlineStr">
        <is>
          <t xml:space="preserve">a0_num_030</t>
        </is>
      </c>
      <c r="B31">
        <f>IFERROR(VLOOKUP($A31,VOCAB!$A$2:$L$1500,5,FALSE),"")</f>
      </c>
      <c r="C31">
        <f>IFERROR(VLOOKUP($A31,VOCAB!$A$2:$L$1500,6,FALSE),"")</f>
      </c>
      <c r="D31">
        <f>IFERROR(VLOOKUP($A31,VOCAB!$A$2:$L$1500,8,FALSE),"")</f>
      </c>
      <c r="E31" s="4"/>
      <c r="F31" s="4"/>
      <c r="G31" s="4"/>
      <c r="H31">
        <f>IF($G31="","",$G31+IF($E31=0,1,IF($E31=1,1,IF($E31=2,2,IF($E31=3,4,IF($E31=4,7,14))))))</f>
      </c>
      <c r="I31">
        <f>IF($G31="","Mới",IF($H31&lt;=TODAY(),"ĐẾN HẠN","Lịch"))</f>
      </c>
      <c r="J31">
        <f>IF($I31="ĐẾN HẠN",COUNTIF($I$2:$I31,"ĐẾN HẠN"),"")</f>
      </c>
      <c r="K31" s="4"/>
    </row>
    <row r="32">
      <c r="A32" t="inlineStr">
        <is>
          <t xml:space="preserve">a0_num_031</t>
        </is>
      </c>
      <c r="B32">
        <f>IFERROR(VLOOKUP($A32,VOCAB!$A$2:$L$1500,5,FALSE),"")</f>
      </c>
      <c r="C32">
        <f>IFERROR(VLOOKUP($A32,VOCAB!$A$2:$L$1500,6,FALSE),"")</f>
      </c>
      <c r="D32">
        <f>IFERROR(VLOOKUP($A32,VOCAB!$A$2:$L$1500,8,FALSE),"")</f>
      </c>
      <c r="E32" s="4"/>
      <c r="F32" s="4"/>
      <c r="G32" s="4"/>
      <c r="H32">
        <f>IF($G32="","",$G32+IF($E32=0,1,IF($E32=1,1,IF($E32=2,2,IF($E32=3,4,IF($E32=4,7,14))))))</f>
      </c>
      <c r="I32">
        <f>IF($G32="","Mới",IF($H32&lt;=TODAY(),"ĐẾN HẠN","Lịch"))</f>
      </c>
      <c r="J32">
        <f>IF($I32="ĐẾN HẠN",COUNTIF($I$2:$I32,"ĐẾN HẠN"),"")</f>
      </c>
      <c r="K32" s="4"/>
    </row>
    <row r="33">
      <c r="A33" t="inlineStr">
        <is>
          <t xml:space="preserve">a0_num_032</t>
        </is>
      </c>
      <c r="B33">
        <f>IFERROR(VLOOKUP($A33,VOCAB!$A$2:$L$1500,5,FALSE),"")</f>
      </c>
      <c r="C33">
        <f>IFERROR(VLOOKUP($A33,VOCAB!$A$2:$L$1500,6,FALSE),"")</f>
      </c>
      <c r="D33">
        <f>IFERROR(VLOOKUP($A33,VOCAB!$A$2:$L$1500,8,FALSE),"")</f>
      </c>
      <c r="E33" s="4"/>
      <c r="F33" s="4"/>
      <c r="G33" s="4"/>
      <c r="H33">
        <f>IF($G33="","",$G33+IF($E33=0,1,IF($E33=1,1,IF($E33=2,2,IF($E33=3,4,IF($E33=4,7,14))))))</f>
      </c>
      <c r="I33">
        <f>IF($G33="","Mới",IF($H33&lt;=TODAY(),"ĐẾN HẠN","Lịch"))</f>
      </c>
      <c r="J33">
        <f>IF($I33="ĐẾN HẠN",COUNTIF($I$2:$I33,"ĐẾN HẠN"),"")</f>
      </c>
      <c r="K33" s="4"/>
    </row>
    <row r="34">
      <c r="A34" t="inlineStr">
        <is>
          <t xml:space="preserve">a0_num_033</t>
        </is>
      </c>
      <c r="B34">
        <f>IFERROR(VLOOKUP($A34,VOCAB!$A$2:$L$1500,5,FALSE),"")</f>
      </c>
      <c r="C34">
        <f>IFERROR(VLOOKUP($A34,VOCAB!$A$2:$L$1500,6,FALSE),"")</f>
      </c>
      <c r="D34">
        <f>IFERROR(VLOOKUP($A34,VOCAB!$A$2:$L$1500,8,FALSE),"")</f>
      </c>
      <c r="E34" s="4"/>
      <c r="F34" s="4"/>
      <c r="G34" s="4"/>
      <c r="H34">
        <f>IF($G34="","",$G34+IF($E34=0,1,IF($E34=1,1,IF($E34=2,2,IF($E34=3,4,IF($E34=4,7,14))))))</f>
      </c>
      <c r="I34">
        <f>IF($G34="","Mới",IF($H34&lt;=TODAY(),"ĐẾN HẠN","Lịch"))</f>
      </c>
      <c r="J34">
        <f>IF($I34="ĐẾN HẠN",COUNTIF($I$2:$I34,"ĐẾN HẠN"),"")</f>
      </c>
      <c r="K34" s="4"/>
    </row>
    <row r="35">
      <c r="A35" t="inlineStr">
        <is>
          <t xml:space="preserve">a0_num_034</t>
        </is>
      </c>
      <c r="B35">
        <f>IFERROR(VLOOKUP($A35,VOCAB!$A$2:$L$1500,5,FALSE),"")</f>
      </c>
      <c r="C35">
        <f>IFERROR(VLOOKUP($A35,VOCAB!$A$2:$L$1500,6,FALSE),"")</f>
      </c>
      <c r="D35">
        <f>IFERROR(VLOOKUP($A35,VOCAB!$A$2:$L$1500,8,FALSE),"")</f>
      </c>
      <c r="E35" s="4"/>
      <c r="F35" s="4"/>
      <c r="G35" s="4"/>
      <c r="H35">
        <f>IF($G35="","",$G35+IF($E35=0,1,IF($E35=1,1,IF($E35=2,2,IF($E35=3,4,IF($E35=4,7,14))))))</f>
      </c>
      <c r="I35">
        <f>IF($G35="","Mới",IF($H35&lt;=TODAY(),"ĐẾN HẠN","Lịch"))</f>
      </c>
      <c r="J35">
        <f>IF($I35="ĐẾN HẠN",COUNTIF($I$2:$I35,"ĐẾN HẠN"),"")</f>
      </c>
      <c r="K35" s="4"/>
    </row>
    <row r="36">
      <c r="A36" t="inlineStr">
        <is>
          <t xml:space="preserve">a0_num_035</t>
        </is>
      </c>
      <c r="B36">
        <f>IFERROR(VLOOKUP($A36,VOCAB!$A$2:$L$1500,5,FALSE),"")</f>
      </c>
      <c r="C36">
        <f>IFERROR(VLOOKUP($A36,VOCAB!$A$2:$L$1500,6,FALSE),"")</f>
      </c>
      <c r="D36">
        <f>IFERROR(VLOOKUP($A36,VOCAB!$A$2:$L$1500,8,FALSE),"")</f>
      </c>
      <c r="E36" s="4"/>
      <c r="F36" s="4"/>
      <c r="G36" s="4"/>
      <c r="H36">
        <f>IF($G36="","",$G36+IF($E36=0,1,IF($E36=1,1,IF($E36=2,2,IF($E36=3,4,IF($E36=4,7,14))))))</f>
      </c>
      <c r="I36">
        <f>IF($G36="","Mới",IF($H36&lt;=TODAY(),"ĐẾN HẠN","Lịch"))</f>
      </c>
      <c r="J36">
        <f>IF($I36="ĐẾN HẠN",COUNTIF($I$2:$I36,"ĐẾN HẠN"),"")</f>
      </c>
      <c r="K36" s="4"/>
    </row>
    <row r="37">
      <c r="A37" t="inlineStr">
        <is>
          <t xml:space="preserve">a0_num_036</t>
        </is>
      </c>
      <c r="B37">
        <f>IFERROR(VLOOKUP($A37,VOCAB!$A$2:$L$1500,5,FALSE),"")</f>
      </c>
      <c r="C37">
        <f>IFERROR(VLOOKUP($A37,VOCAB!$A$2:$L$1500,6,FALSE),"")</f>
      </c>
      <c r="D37">
        <f>IFERROR(VLOOKUP($A37,VOCAB!$A$2:$L$1500,8,FALSE),"")</f>
      </c>
      <c r="E37" s="4"/>
      <c r="F37" s="4"/>
      <c r="G37" s="4"/>
      <c r="H37">
        <f>IF($G37="","",$G37+IF($E37=0,1,IF($E37=1,1,IF($E37=2,2,IF($E37=3,4,IF($E37=4,7,14))))))</f>
      </c>
      <c r="I37">
        <f>IF($G37="","Mới",IF($H37&lt;=TODAY(),"ĐẾN HẠN","Lịch"))</f>
      </c>
      <c r="J37">
        <f>IF($I37="ĐẾN HẠN",COUNTIF($I$2:$I37,"ĐẾN HẠN"),"")</f>
      </c>
      <c r="K37" s="4"/>
    </row>
    <row r="38">
      <c r="A38" t="inlineStr">
        <is>
          <t xml:space="preserve">a0_num_037</t>
        </is>
      </c>
      <c r="B38">
        <f>IFERROR(VLOOKUP($A38,VOCAB!$A$2:$L$1500,5,FALSE),"")</f>
      </c>
      <c r="C38">
        <f>IFERROR(VLOOKUP($A38,VOCAB!$A$2:$L$1500,6,FALSE),"")</f>
      </c>
      <c r="D38">
        <f>IFERROR(VLOOKUP($A38,VOCAB!$A$2:$L$1500,8,FALSE),"")</f>
      </c>
      <c r="E38" s="4"/>
      <c r="F38" s="4"/>
      <c r="G38" s="4"/>
      <c r="H38">
        <f>IF($G38="","",$G38+IF($E38=0,1,IF($E38=1,1,IF($E38=2,2,IF($E38=3,4,IF($E38=4,7,14))))))</f>
      </c>
      <c r="I38">
        <f>IF($G38="","Mới",IF($H38&lt;=TODAY(),"ĐẾN HẠN","Lịch"))</f>
      </c>
      <c r="J38">
        <f>IF($I38="ĐẾN HẠN",COUNTIF($I$2:$I38,"ĐẾN HẠN"),"")</f>
      </c>
      <c r="K38" s="4"/>
    </row>
    <row r="39">
      <c r="A39" t="inlineStr">
        <is>
          <t xml:space="preserve">a0_num_038</t>
        </is>
      </c>
      <c r="B39">
        <f>IFERROR(VLOOKUP($A39,VOCAB!$A$2:$L$1500,5,FALSE),"")</f>
      </c>
      <c r="C39">
        <f>IFERROR(VLOOKUP($A39,VOCAB!$A$2:$L$1500,6,FALSE),"")</f>
      </c>
      <c r="D39">
        <f>IFERROR(VLOOKUP($A39,VOCAB!$A$2:$L$1500,8,FALSE),"")</f>
      </c>
      <c r="E39" s="4"/>
      <c r="F39" s="4"/>
      <c r="G39" s="4"/>
      <c r="H39">
        <f>IF($G39="","",$G39+IF($E39=0,1,IF($E39=1,1,IF($E39=2,2,IF($E39=3,4,IF($E39=4,7,14))))))</f>
      </c>
      <c r="I39">
        <f>IF($G39="","Mới",IF($H39&lt;=TODAY(),"ĐẾN HẠN","Lịch"))</f>
      </c>
      <c r="J39">
        <f>IF($I39="ĐẾN HẠN",COUNTIF($I$2:$I39,"ĐẾN HẠN"),"")</f>
      </c>
      <c r="K39" s="4"/>
    </row>
    <row r="40">
      <c r="A40" t="inlineStr">
        <is>
          <t xml:space="preserve">a0_num_039</t>
        </is>
      </c>
      <c r="B40">
        <f>IFERROR(VLOOKUP($A40,VOCAB!$A$2:$L$1500,5,FALSE),"")</f>
      </c>
      <c r="C40">
        <f>IFERROR(VLOOKUP($A40,VOCAB!$A$2:$L$1500,6,FALSE),"")</f>
      </c>
      <c r="D40">
        <f>IFERROR(VLOOKUP($A40,VOCAB!$A$2:$L$1500,8,FALSE),"")</f>
      </c>
      <c r="E40" s="4"/>
      <c r="F40" s="4"/>
      <c r="G40" s="4"/>
      <c r="H40">
        <f>IF($G40="","",$G40+IF($E40=0,1,IF($E40=1,1,IF($E40=2,2,IF($E40=3,4,IF($E40=4,7,14))))))</f>
      </c>
      <c r="I40">
        <f>IF($G40="","Mới",IF($H40&lt;=TODAY(),"ĐẾN HẠN","Lịch"))</f>
      </c>
      <c r="J40">
        <f>IF($I40="ĐẾN HẠN",COUNTIF($I$2:$I40,"ĐẾN HẠN"),"")</f>
      </c>
      <c r="K40" s="4"/>
    </row>
    <row r="41">
      <c r="A41" t="inlineStr">
        <is>
          <t xml:space="preserve">a0_num_040</t>
        </is>
      </c>
      <c r="B41">
        <f>IFERROR(VLOOKUP($A41,VOCAB!$A$2:$L$1500,5,FALSE),"")</f>
      </c>
      <c r="C41">
        <f>IFERROR(VLOOKUP($A41,VOCAB!$A$2:$L$1500,6,FALSE),"")</f>
      </c>
      <c r="D41">
        <f>IFERROR(VLOOKUP($A41,VOCAB!$A$2:$L$1500,8,FALSE),"")</f>
      </c>
      <c r="E41" s="4"/>
      <c r="F41" s="4"/>
      <c r="G41" s="4"/>
      <c r="H41">
        <f>IF($G41="","",$G41+IF($E41=0,1,IF($E41=1,1,IF($E41=2,2,IF($E41=3,4,IF($E41=4,7,14))))))</f>
      </c>
      <c r="I41">
        <f>IF($G41="","Mới",IF($H41&lt;=TODAY(),"ĐẾN HẠN","Lịch"))</f>
      </c>
      <c r="J41">
        <f>IF($I41="ĐẾN HẠN",COUNTIF($I$2:$I41,"ĐẾN HẠN"),"")</f>
      </c>
      <c r="K41" s="4"/>
    </row>
    <row r="42">
      <c r="A42" t="inlineStr">
        <is>
          <t xml:space="preserve">a0_num_041</t>
        </is>
      </c>
      <c r="B42">
        <f>IFERROR(VLOOKUP($A42,VOCAB!$A$2:$L$1500,5,FALSE),"")</f>
      </c>
      <c r="C42">
        <f>IFERROR(VLOOKUP($A42,VOCAB!$A$2:$L$1500,6,FALSE),"")</f>
      </c>
      <c r="D42">
        <f>IFERROR(VLOOKUP($A42,VOCAB!$A$2:$L$1500,8,FALSE),"")</f>
      </c>
      <c r="E42" s="4"/>
      <c r="F42" s="4"/>
      <c r="G42" s="4"/>
      <c r="H42">
        <f>IF($G42="","",$G42+IF($E42=0,1,IF($E42=1,1,IF($E42=2,2,IF($E42=3,4,IF($E42=4,7,14))))))</f>
      </c>
      <c r="I42">
        <f>IF($G42="","Mới",IF($H42&lt;=TODAY(),"ĐẾN HẠN","Lịch"))</f>
      </c>
      <c r="J42">
        <f>IF($I42="ĐẾN HẠN",COUNTIF($I$2:$I42,"ĐẾN HẠN"),"")</f>
      </c>
      <c r="K42" s="4"/>
    </row>
    <row r="43">
      <c r="A43" t="inlineStr">
        <is>
          <t xml:space="preserve">a0_num_042</t>
        </is>
      </c>
      <c r="B43">
        <f>IFERROR(VLOOKUP($A43,VOCAB!$A$2:$L$1500,5,FALSE),"")</f>
      </c>
      <c r="C43">
        <f>IFERROR(VLOOKUP($A43,VOCAB!$A$2:$L$1500,6,FALSE),"")</f>
      </c>
      <c r="D43">
        <f>IFERROR(VLOOKUP($A43,VOCAB!$A$2:$L$1500,8,FALSE),"")</f>
      </c>
      <c r="E43" s="4"/>
      <c r="F43" s="4"/>
      <c r="G43" s="4"/>
      <c r="H43">
        <f>IF($G43="","",$G43+IF($E43=0,1,IF($E43=1,1,IF($E43=2,2,IF($E43=3,4,IF($E43=4,7,14))))))</f>
      </c>
      <c r="I43">
        <f>IF($G43="","Mới",IF($H43&lt;=TODAY(),"ĐẾN HẠN","Lịch"))</f>
      </c>
      <c r="J43">
        <f>IF($I43="ĐẾN HẠN",COUNTIF($I$2:$I43,"ĐẾN HẠN"),"")</f>
      </c>
      <c r="K43" s="4"/>
    </row>
    <row r="44">
      <c r="A44" t="inlineStr">
        <is>
          <t xml:space="preserve">a0_num_043</t>
        </is>
      </c>
      <c r="B44">
        <f>IFERROR(VLOOKUP($A44,VOCAB!$A$2:$L$1500,5,FALSE),"")</f>
      </c>
      <c r="C44">
        <f>IFERROR(VLOOKUP($A44,VOCAB!$A$2:$L$1500,6,FALSE),"")</f>
      </c>
      <c r="D44">
        <f>IFERROR(VLOOKUP($A44,VOCAB!$A$2:$L$1500,8,FALSE),"")</f>
      </c>
      <c r="E44" s="4"/>
      <c r="F44" s="4"/>
      <c r="G44" s="4"/>
      <c r="H44">
        <f>IF($G44="","",$G44+IF($E44=0,1,IF($E44=1,1,IF($E44=2,2,IF($E44=3,4,IF($E44=4,7,14))))))</f>
      </c>
      <c r="I44">
        <f>IF($G44="","Mới",IF($H44&lt;=TODAY(),"ĐẾN HẠN","Lịch"))</f>
      </c>
      <c r="J44">
        <f>IF($I44="ĐẾN HẠN",COUNTIF($I$2:$I44,"ĐẾN HẠN"),"")</f>
      </c>
      <c r="K44" s="4"/>
    </row>
    <row r="45">
      <c r="A45" t="inlineStr">
        <is>
          <t xml:space="preserve">a0_num_044</t>
        </is>
      </c>
      <c r="B45">
        <f>IFERROR(VLOOKUP($A45,VOCAB!$A$2:$L$1500,5,FALSE),"")</f>
      </c>
      <c r="C45">
        <f>IFERROR(VLOOKUP($A45,VOCAB!$A$2:$L$1500,6,FALSE),"")</f>
      </c>
      <c r="D45">
        <f>IFERROR(VLOOKUP($A45,VOCAB!$A$2:$L$1500,8,FALSE),"")</f>
      </c>
      <c r="E45" s="4"/>
      <c r="F45" s="4"/>
      <c r="G45" s="4"/>
      <c r="H45">
        <f>IF($G45="","",$G45+IF($E45=0,1,IF($E45=1,1,IF($E45=2,2,IF($E45=3,4,IF($E45=4,7,14))))))</f>
      </c>
      <c r="I45">
        <f>IF($G45="","Mới",IF($H45&lt;=TODAY(),"ĐẾN HẠN","Lịch"))</f>
      </c>
      <c r="J45">
        <f>IF($I45="ĐẾN HẠN",COUNTIF($I$2:$I45,"ĐẾN HẠN"),"")</f>
      </c>
      <c r="K45" s="4"/>
    </row>
    <row r="46">
      <c r="A46" t="inlineStr">
        <is>
          <t xml:space="preserve">a0_num_045</t>
        </is>
      </c>
      <c r="B46">
        <f>IFERROR(VLOOKUP($A46,VOCAB!$A$2:$L$1500,5,FALSE),"")</f>
      </c>
      <c r="C46">
        <f>IFERROR(VLOOKUP($A46,VOCAB!$A$2:$L$1500,6,FALSE),"")</f>
      </c>
      <c r="D46">
        <f>IFERROR(VLOOKUP($A46,VOCAB!$A$2:$L$1500,8,FALSE),"")</f>
      </c>
      <c r="E46" s="4"/>
      <c r="F46" s="4"/>
      <c r="G46" s="4"/>
      <c r="H46">
        <f>IF($G46="","",$G46+IF($E46=0,1,IF($E46=1,1,IF($E46=2,2,IF($E46=3,4,IF($E46=4,7,14))))))</f>
      </c>
      <c r="I46">
        <f>IF($G46="","Mới",IF($H46&lt;=TODAY(),"ĐẾN HẠN","Lịch"))</f>
      </c>
      <c r="J46">
        <f>IF($I46="ĐẾN HẠN",COUNTIF($I$2:$I46,"ĐẾN HẠN"),"")</f>
      </c>
      <c r="K46" s="4"/>
    </row>
    <row r="47">
      <c r="A47" t="inlineStr">
        <is>
          <t xml:space="preserve">a0_num_046</t>
        </is>
      </c>
      <c r="B47">
        <f>IFERROR(VLOOKUP($A47,VOCAB!$A$2:$L$1500,5,FALSE),"")</f>
      </c>
      <c r="C47">
        <f>IFERROR(VLOOKUP($A47,VOCAB!$A$2:$L$1500,6,FALSE),"")</f>
      </c>
      <c r="D47">
        <f>IFERROR(VLOOKUP($A47,VOCAB!$A$2:$L$1500,8,FALSE),"")</f>
      </c>
      <c r="E47" s="4"/>
      <c r="F47" s="4"/>
      <c r="G47" s="4"/>
      <c r="H47">
        <f>IF($G47="","",$G47+IF($E47=0,1,IF($E47=1,1,IF($E47=2,2,IF($E47=3,4,IF($E47=4,7,14))))))</f>
      </c>
      <c r="I47">
        <f>IF($G47="","Mới",IF($H47&lt;=TODAY(),"ĐẾN HẠN","Lịch"))</f>
      </c>
      <c r="J47">
        <f>IF($I47="ĐẾN HẠN",COUNTIF($I$2:$I47,"ĐẾN HẠN"),"")</f>
      </c>
      <c r="K47" s="4"/>
    </row>
    <row r="48">
      <c r="A48" t="inlineStr">
        <is>
          <t xml:space="preserve">a0_num_047</t>
        </is>
      </c>
      <c r="B48">
        <f>IFERROR(VLOOKUP($A48,VOCAB!$A$2:$L$1500,5,FALSE),"")</f>
      </c>
      <c r="C48">
        <f>IFERROR(VLOOKUP($A48,VOCAB!$A$2:$L$1500,6,FALSE),"")</f>
      </c>
      <c r="D48">
        <f>IFERROR(VLOOKUP($A48,VOCAB!$A$2:$L$1500,8,FALSE),"")</f>
      </c>
      <c r="E48" s="4"/>
      <c r="F48" s="4"/>
      <c r="G48" s="4"/>
      <c r="H48">
        <f>IF($G48="","",$G48+IF($E48=0,1,IF($E48=1,1,IF($E48=2,2,IF($E48=3,4,IF($E48=4,7,14))))))</f>
      </c>
      <c r="I48">
        <f>IF($G48="","Mới",IF($H48&lt;=TODAY(),"ĐẾN HẠN","Lịch"))</f>
      </c>
      <c r="J48">
        <f>IF($I48="ĐẾN HẠN",COUNTIF($I$2:$I48,"ĐẾN HẠN"),"")</f>
      </c>
      <c r="K48" s="4"/>
    </row>
    <row r="49">
      <c r="A49" t="inlineStr">
        <is>
          <t xml:space="preserve">a0_greet_048</t>
        </is>
      </c>
      <c r="B49">
        <f>IFERROR(VLOOKUP($A49,VOCAB!$A$2:$L$1500,5,FALSE),"")</f>
      </c>
      <c r="C49">
        <f>IFERROR(VLOOKUP($A49,VOCAB!$A$2:$L$1500,6,FALSE),"")</f>
      </c>
      <c r="D49">
        <f>IFERROR(VLOOKUP($A49,VOCAB!$A$2:$L$1500,8,FALSE),"")</f>
      </c>
      <c r="E49" s="4"/>
      <c r="F49" s="4"/>
      <c r="G49" s="4"/>
      <c r="H49">
        <f>IF($G49="","",$G49+IF($E49=0,1,IF($E49=1,1,IF($E49=2,2,IF($E49=3,4,IF($E49=4,7,14))))))</f>
      </c>
      <c r="I49">
        <f>IF($G49="","Mới",IF($H49&lt;=TODAY(),"ĐẾN HẠN","Lịch"))</f>
      </c>
      <c r="J49">
        <f>IF($I49="ĐẾN HẠN",COUNTIF($I$2:$I49,"ĐẾN HẠN"),"")</f>
      </c>
      <c r="K49" s="4"/>
    </row>
    <row r="50">
      <c r="A50" t="inlineStr">
        <is>
          <t xml:space="preserve">a0_greet_049</t>
        </is>
      </c>
      <c r="B50">
        <f>IFERROR(VLOOKUP($A50,VOCAB!$A$2:$L$1500,5,FALSE),"")</f>
      </c>
      <c r="C50">
        <f>IFERROR(VLOOKUP($A50,VOCAB!$A$2:$L$1500,6,FALSE),"")</f>
      </c>
      <c r="D50">
        <f>IFERROR(VLOOKUP($A50,VOCAB!$A$2:$L$1500,8,FALSE),"")</f>
      </c>
      <c r="E50" s="4"/>
      <c r="F50" s="4"/>
      <c r="G50" s="4"/>
      <c r="H50">
        <f>IF($G50="","",$G50+IF($E50=0,1,IF($E50=1,1,IF($E50=2,2,IF($E50=3,4,IF($E50=4,7,14))))))</f>
      </c>
      <c r="I50">
        <f>IF($G50="","Mới",IF($H50&lt;=TODAY(),"ĐẾN HẠN","Lịch"))</f>
      </c>
      <c r="J50">
        <f>IF($I50="ĐẾN HẠN",COUNTIF($I$2:$I50,"ĐẾN HẠN"),"")</f>
      </c>
      <c r="K50" s="4"/>
    </row>
    <row r="51">
      <c r="A51" t="inlineStr">
        <is>
          <t xml:space="preserve">a0_greet_050</t>
        </is>
      </c>
      <c r="B51">
        <f>IFERROR(VLOOKUP($A51,VOCAB!$A$2:$L$1500,5,FALSE),"")</f>
      </c>
      <c r="C51">
        <f>IFERROR(VLOOKUP($A51,VOCAB!$A$2:$L$1500,6,FALSE),"")</f>
      </c>
      <c r="D51">
        <f>IFERROR(VLOOKUP($A51,VOCAB!$A$2:$L$1500,8,FALSE),"")</f>
      </c>
      <c r="E51" s="4"/>
      <c r="F51" s="4"/>
      <c r="G51" s="4"/>
      <c r="H51">
        <f>IF($G51="","",$G51+IF($E51=0,1,IF($E51=1,1,IF($E51=2,2,IF($E51=3,4,IF($E51=4,7,14))))))</f>
      </c>
      <c r="I51">
        <f>IF($G51="","Mới",IF($H51&lt;=TODAY(),"ĐẾN HẠN","Lịch"))</f>
      </c>
      <c r="J51">
        <f>IF($I51="ĐẾN HẠN",COUNTIF($I$2:$I51,"ĐẾN HẠN"),"")</f>
      </c>
      <c r="K51" s="4"/>
    </row>
    <row r="52">
      <c r="A52" t="inlineStr">
        <is>
          <t xml:space="preserve">a0_greet_051</t>
        </is>
      </c>
      <c r="B52">
        <f>IFERROR(VLOOKUP($A52,VOCAB!$A$2:$L$1500,5,FALSE),"")</f>
      </c>
      <c r="C52">
        <f>IFERROR(VLOOKUP($A52,VOCAB!$A$2:$L$1500,6,FALSE),"")</f>
      </c>
      <c r="D52">
        <f>IFERROR(VLOOKUP($A52,VOCAB!$A$2:$L$1500,8,FALSE),"")</f>
      </c>
      <c r="E52" s="4"/>
      <c r="F52" s="4"/>
      <c r="G52" s="4"/>
      <c r="H52">
        <f>IF($G52="","",$G52+IF($E52=0,1,IF($E52=1,1,IF($E52=2,2,IF($E52=3,4,IF($E52=4,7,14))))))</f>
      </c>
      <c r="I52">
        <f>IF($G52="","Mới",IF($H52&lt;=TODAY(),"ĐẾN HẠN","Lịch"))</f>
      </c>
      <c r="J52">
        <f>IF($I52="ĐẾN HẠN",COUNTIF($I$2:$I52,"ĐẾN HẠN"),"")</f>
      </c>
      <c r="K52" s="4"/>
    </row>
    <row r="53">
      <c r="A53" t="inlineStr">
        <is>
          <t xml:space="preserve">a0_greet_052</t>
        </is>
      </c>
      <c r="B53">
        <f>IFERROR(VLOOKUP($A53,VOCAB!$A$2:$L$1500,5,FALSE),"")</f>
      </c>
      <c r="C53">
        <f>IFERROR(VLOOKUP($A53,VOCAB!$A$2:$L$1500,6,FALSE),"")</f>
      </c>
      <c r="D53">
        <f>IFERROR(VLOOKUP($A53,VOCAB!$A$2:$L$1500,8,FALSE),"")</f>
      </c>
      <c r="E53" s="4"/>
      <c r="F53" s="4"/>
      <c r="G53" s="4"/>
      <c r="H53">
        <f>IF($G53="","",$G53+IF($E53=0,1,IF($E53=1,1,IF($E53=2,2,IF($E53=3,4,IF($E53=4,7,14))))))</f>
      </c>
      <c r="I53">
        <f>IF($G53="","Mới",IF($H53&lt;=TODAY(),"ĐẾN HẠN","Lịch"))</f>
      </c>
      <c r="J53">
        <f>IF($I53="ĐẾN HẠN",COUNTIF($I$2:$I53,"ĐẾN HẠN"),"")</f>
      </c>
      <c r="K53" s="4"/>
    </row>
    <row r="54">
      <c r="A54" t="inlineStr">
        <is>
          <t xml:space="preserve">a0_greet_053</t>
        </is>
      </c>
      <c r="B54">
        <f>IFERROR(VLOOKUP($A54,VOCAB!$A$2:$L$1500,5,FALSE),"")</f>
      </c>
      <c r="C54">
        <f>IFERROR(VLOOKUP($A54,VOCAB!$A$2:$L$1500,6,FALSE),"")</f>
      </c>
      <c r="D54">
        <f>IFERROR(VLOOKUP($A54,VOCAB!$A$2:$L$1500,8,FALSE),"")</f>
      </c>
      <c r="E54" s="4"/>
      <c r="F54" s="4"/>
      <c r="G54" s="4"/>
      <c r="H54">
        <f>IF($G54="","",$G54+IF($E54=0,1,IF($E54=1,1,IF($E54=2,2,IF($E54=3,4,IF($E54=4,7,14))))))</f>
      </c>
      <c r="I54">
        <f>IF($G54="","Mới",IF($H54&lt;=TODAY(),"ĐẾN HẠN","Lịch"))</f>
      </c>
      <c r="J54">
        <f>IF($I54="ĐẾN HẠN",COUNTIF($I$2:$I54,"ĐẾN HẠN"),"")</f>
      </c>
      <c r="K54" s="4"/>
    </row>
    <row r="55">
      <c r="A55" t="inlineStr">
        <is>
          <t xml:space="preserve">a0_greet_054</t>
        </is>
      </c>
      <c r="B55">
        <f>IFERROR(VLOOKUP($A55,VOCAB!$A$2:$L$1500,5,FALSE),"")</f>
      </c>
      <c r="C55">
        <f>IFERROR(VLOOKUP($A55,VOCAB!$A$2:$L$1500,6,FALSE),"")</f>
      </c>
      <c r="D55">
        <f>IFERROR(VLOOKUP($A55,VOCAB!$A$2:$L$1500,8,FALSE),"")</f>
      </c>
      <c r="E55" s="4"/>
      <c r="F55" s="4"/>
      <c r="G55" s="4"/>
      <c r="H55">
        <f>IF($G55="","",$G55+IF($E55=0,1,IF($E55=1,1,IF($E55=2,2,IF($E55=3,4,IF($E55=4,7,14))))))</f>
      </c>
      <c r="I55">
        <f>IF($G55="","Mới",IF($H55&lt;=TODAY(),"ĐẾN HẠN","Lịch"))</f>
      </c>
      <c r="J55">
        <f>IF($I55="ĐẾN HẠN",COUNTIF($I$2:$I55,"ĐẾN HẠN"),"")</f>
      </c>
      <c r="K55" s="4"/>
    </row>
    <row r="56">
      <c r="A56" t="inlineStr">
        <is>
          <t xml:space="preserve">a0_greet_055</t>
        </is>
      </c>
      <c r="B56">
        <f>IFERROR(VLOOKUP($A56,VOCAB!$A$2:$L$1500,5,FALSE),"")</f>
      </c>
      <c r="C56">
        <f>IFERROR(VLOOKUP($A56,VOCAB!$A$2:$L$1500,6,FALSE),"")</f>
      </c>
      <c r="D56">
        <f>IFERROR(VLOOKUP($A56,VOCAB!$A$2:$L$1500,8,FALSE),"")</f>
      </c>
      <c r="E56" s="4"/>
      <c r="F56" s="4"/>
      <c r="G56" s="4"/>
      <c r="H56">
        <f>IF($G56="","",$G56+IF($E56=0,1,IF($E56=1,1,IF($E56=2,2,IF($E56=3,4,IF($E56=4,7,14))))))</f>
      </c>
      <c r="I56">
        <f>IF($G56="","Mới",IF($H56&lt;=TODAY(),"ĐẾN HẠN","Lịch"))</f>
      </c>
      <c r="J56">
        <f>IF($I56="ĐẾN HẠN",COUNTIF($I$2:$I56,"ĐẾN HẠN"),"")</f>
      </c>
      <c r="K56" s="4"/>
    </row>
    <row r="57">
      <c r="A57" t="inlineStr">
        <is>
          <t xml:space="preserve">a0_greet_056</t>
        </is>
      </c>
      <c r="B57">
        <f>IFERROR(VLOOKUP($A57,VOCAB!$A$2:$L$1500,5,FALSE),"")</f>
      </c>
      <c r="C57">
        <f>IFERROR(VLOOKUP($A57,VOCAB!$A$2:$L$1500,6,FALSE),"")</f>
      </c>
      <c r="D57">
        <f>IFERROR(VLOOKUP($A57,VOCAB!$A$2:$L$1500,8,FALSE),"")</f>
      </c>
      <c r="E57" s="4"/>
      <c r="F57" s="4"/>
      <c r="G57" s="4"/>
      <c r="H57">
        <f>IF($G57="","",$G57+IF($E57=0,1,IF($E57=1,1,IF($E57=2,2,IF($E57=3,4,IF($E57=4,7,14))))))</f>
      </c>
      <c r="I57">
        <f>IF($G57="","Mới",IF($H57&lt;=TODAY(),"ĐẾN HẠN","Lịch"))</f>
      </c>
      <c r="J57">
        <f>IF($I57="ĐẾN HẠN",COUNTIF($I$2:$I57,"ĐẾN HẠN"),"")</f>
      </c>
      <c r="K57" s="4"/>
    </row>
    <row r="58">
      <c r="A58" t="inlineStr">
        <is>
          <t xml:space="preserve">a0_greet_057</t>
        </is>
      </c>
      <c r="B58">
        <f>IFERROR(VLOOKUP($A58,VOCAB!$A$2:$L$1500,5,FALSE),"")</f>
      </c>
      <c r="C58">
        <f>IFERROR(VLOOKUP($A58,VOCAB!$A$2:$L$1500,6,FALSE),"")</f>
      </c>
      <c r="D58">
        <f>IFERROR(VLOOKUP($A58,VOCAB!$A$2:$L$1500,8,FALSE),"")</f>
      </c>
      <c r="E58" s="4"/>
      <c r="F58" s="4"/>
      <c r="G58" s="4"/>
      <c r="H58">
        <f>IF($G58="","",$G58+IF($E58=0,1,IF($E58=1,1,IF($E58=2,2,IF($E58=3,4,IF($E58=4,7,14))))))</f>
      </c>
      <c r="I58">
        <f>IF($G58="","Mới",IF($H58&lt;=TODAY(),"ĐẾN HẠN","Lịch"))</f>
      </c>
      <c r="J58">
        <f>IF($I58="ĐẾN HẠN",COUNTIF($I$2:$I58,"ĐẾN HẠN"),"")</f>
      </c>
      <c r="K58" s="4"/>
    </row>
    <row r="59">
      <c r="A59" t="inlineStr">
        <is>
          <t xml:space="preserve">a0_greet_058</t>
        </is>
      </c>
      <c r="B59">
        <f>IFERROR(VLOOKUP($A59,VOCAB!$A$2:$L$1500,5,FALSE),"")</f>
      </c>
      <c r="C59">
        <f>IFERROR(VLOOKUP($A59,VOCAB!$A$2:$L$1500,6,FALSE),"")</f>
      </c>
      <c r="D59">
        <f>IFERROR(VLOOKUP($A59,VOCAB!$A$2:$L$1500,8,FALSE),"")</f>
      </c>
      <c r="E59" s="4"/>
      <c r="F59" s="4"/>
      <c r="G59" s="4"/>
      <c r="H59">
        <f>IF($G59="","",$G59+IF($E59=0,1,IF($E59=1,1,IF($E59=2,2,IF($E59=3,4,IF($E59=4,7,14))))))</f>
      </c>
      <c r="I59">
        <f>IF($G59="","Mới",IF($H59&lt;=TODAY(),"ĐẾN HẠN","Lịch"))</f>
      </c>
      <c r="J59">
        <f>IF($I59="ĐẾN HẠN",COUNTIF($I$2:$I59,"ĐẾN HẠN"),"")</f>
      </c>
      <c r="K59" s="4"/>
    </row>
    <row r="60">
      <c r="A60" t="inlineStr">
        <is>
          <t xml:space="preserve">a0_greet_059</t>
        </is>
      </c>
      <c r="B60">
        <f>IFERROR(VLOOKUP($A60,VOCAB!$A$2:$L$1500,5,FALSE),"")</f>
      </c>
      <c r="C60">
        <f>IFERROR(VLOOKUP($A60,VOCAB!$A$2:$L$1500,6,FALSE),"")</f>
      </c>
      <c r="D60">
        <f>IFERROR(VLOOKUP($A60,VOCAB!$A$2:$L$1500,8,FALSE),"")</f>
      </c>
      <c r="E60" s="4"/>
      <c r="F60" s="4"/>
      <c r="G60" s="4"/>
      <c r="H60">
        <f>IF($G60="","",$G60+IF($E60=0,1,IF($E60=1,1,IF($E60=2,2,IF($E60=3,4,IF($E60=4,7,14))))))</f>
      </c>
      <c r="I60">
        <f>IF($G60="","Mới",IF($H60&lt;=TODAY(),"ĐẾN HẠN","Lịch"))</f>
      </c>
      <c r="J60">
        <f>IF($I60="ĐẾN HẠN",COUNTIF($I$2:$I60,"ĐẾN HẠN"),"")</f>
      </c>
      <c r="K60" s="4"/>
    </row>
    <row r="61">
      <c r="A61" t="inlineStr">
        <is>
          <t xml:space="preserve">a0_greet_060</t>
        </is>
      </c>
      <c r="B61">
        <f>IFERROR(VLOOKUP($A61,VOCAB!$A$2:$L$1500,5,FALSE),"")</f>
      </c>
      <c r="C61">
        <f>IFERROR(VLOOKUP($A61,VOCAB!$A$2:$L$1500,6,FALSE),"")</f>
      </c>
      <c r="D61">
        <f>IFERROR(VLOOKUP($A61,VOCAB!$A$2:$L$1500,8,FALSE),"")</f>
      </c>
      <c r="E61" s="4"/>
      <c r="F61" s="4"/>
      <c r="G61" s="4"/>
      <c r="H61">
        <f>IF($G61="","",$G61+IF($E61=0,1,IF($E61=1,1,IF($E61=2,2,IF($E61=3,4,IF($E61=4,7,14))))))</f>
      </c>
      <c r="I61">
        <f>IF($G61="","Mới",IF($H61&lt;=TODAY(),"ĐẾN HẠN","Lịch"))</f>
      </c>
      <c r="J61">
        <f>IF($I61="ĐẾN HẠN",COUNTIF($I$2:$I61,"ĐẾN HẠN"),"")</f>
      </c>
      <c r="K61" s="4"/>
    </row>
    <row r="62">
      <c r="A62" t="inlineStr">
        <is>
          <t xml:space="preserve">a0_greet_061</t>
        </is>
      </c>
      <c r="B62">
        <f>IFERROR(VLOOKUP($A62,VOCAB!$A$2:$L$1500,5,FALSE),"")</f>
      </c>
      <c r="C62">
        <f>IFERROR(VLOOKUP($A62,VOCAB!$A$2:$L$1500,6,FALSE),"")</f>
      </c>
      <c r="D62">
        <f>IFERROR(VLOOKUP($A62,VOCAB!$A$2:$L$1500,8,FALSE),"")</f>
      </c>
      <c r="E62" s="4"/>
      <c r="F62" s="4"/>
      <c r="G62" s="4"/>
      <c r="H62">
        <f>IF($G62="","",$G62+IF($E62=0,1,IF($E62=1,1,IF($E62=2,2,IF($E62=3,4,IF($E62=4,7,14))))))</f>
      </c>
      <c r="I62">
        <f>IF($G62="","Mới",IF($H62&lt;=TODAY(),"ĐẾN HẠN","Lịch"))</f>
      </c>
      <c r="J62">
        <f>IF($I62="ĐẾN HẠN",COUNTIF($I$2:$I62,"ĐẾN HẠN"),"")</f>
      </c>
      <c r="K62" s="4"/>
    </row>
    <row r="63">
      <c r="A63" t="inlineStr">
        <is>
          <t xml:space="preserve">cur_v001</t>
        </is>
      </c>
      <c r="B63">
        <f>IFERROR(VLOOKUP($A63,VOCAB!$A$2:$L$1500,5,FALSE),"")</f>
      </c>
      <c r="C63">
        <f>IFERROR(VLOOKUP($A63,VOCAB!$A$2:$L$1500,6,FALSE),"")</f>
      </c>
      <c r="D63">
        <f>IFERROR(VLOOKUP($A63,VOCAB!$A$2:$L$1500,8,FALSE),"")</f>
      </c>
      <c r="E63" s="4"/>
      <c r="F63" s="4"/>
      <c r="G63" s="4"/>
      <c r="H63">
        <f>IF($G63="","",$G63+IF($E63=0,1,IF($E63=1,1,IF($E63=2,2,IF($E63=3,4,IF($E63=4,7,14))))))</f>
      </c>
      <c r="I63">
        <f>IF($G63="","Mới",IF($H63&lt;=TODAY(),"ĐẾN HẠN","Lịch"))</f>
      </c>
      <c r="J63">
        <f>IF($I63="ĐẾN HẠN",COUNTIF($I$2:$I63,"ĐẾN HẠN"),"")</f>
      </c>
      <c r="K63" s="4"/>
    </row>
    <row r="64">
      <c r="A64" t="inlineStr">
        <is>
          <t xml:space="preserve">cur_v002</t>
        </is>
      </c>
      <c r="B64">
        <f>IFERROR(VLOOKUP($A64,VOCAB!$A$2:$L$1500,5,FALSE),"")</f>
      </c>
      <c r="C64">
        <f>IFERROR(VLOOKUP($A64,VOCAB!$A$2:$L$1500,6,FALSE),"")</f>
      </c>
      <c r="D64">
        <f>IFERROR(VLOOKUP($A64,VOCAB!$A$2:$L$1500,8,FALSE),"")</f>
      </c>
      <c r="E64" s="4"/>
      <c r="F64" s="4"/>
      <c r="G64" s="4"/>
      <c r="H64">
        <f>IF($G64="","",$G64+IF($E64=0,1,IF($E64=1,1,IF($E64=2,2,IF($E64=3,4,IF($E64=4,7,14))))))</f>
      </c>
      <c r="I64">
        <f>IF($G64="","Mới",IF($H64&lt;=TODAY(),"ĐẾN HẠN","Lịch"))</f>
      </c>
      <c r="J64">
        <f>IF($I64="ĐẾN HẠN",COUNTIF($I$2:$I64,"ĐẾN HẠN"),"")</f>
      </c>
      <c r="K64" s="4"/>
    </row>
    <row r="65">
      <c r="A65" t="inlineStr">
        <is>
          <t xml:space="preserve">cur_v005</t>
        </is>
      </c>
      <c r="B65">
        <f>IFERROR(VLOOKUP($A65,VOCAB!$A$2:$L$1500,5,FALSE),"")</f>
      </c>
      <c r="C65">
        <f>IFERROR(VLOOKUP($A65,VOCAB!$A$2:$L$1500,6,FALSE),"")</f>
      </c>
      <c r="D65">
        <f>IFERROR(VLOOKUP($A65,VOCAB!$A$2:$L$1500,8,FALSE),"")</f>
      </c>
      <c r="E65" s="4"/>
      <c r="F65" s="4"/>
      <c r="G65" s="4"/>
      <c r="H65">
        <f>IF($G65="","",$G65+IF($E65=0,1,IF($E65=1,1,IF($E65=2,2,IF($E65=3,4,IF($E65=4,7,14))))))</f>
      </c>
      <c r="I65">
        <f>IF($G65="","Mới",IF($H65&lt;=TODAY(),"ĐẾN HẠN","Lịch"))</f>
      </c>
      <c r="J65">
        <f>IF($I65="ĐẾN HẠN",COUNTIF($I$2:$I65,"ĐẾN HẠN"),"")</f>
      </c>
      <c r="K65" s="4"/>
    </row>
    <row r="66">
      <c r="A66" t="inlineStr">
        <is>
          <t xml:space="preserve">a0_pron_062</t>
        </is>
      </c>
      <c r="B66">
        <f>IFERROR(VLOOKUP($A66,VOCAB!$A$2:$L$1500,5,FALSE),"")</f>
      </c>
      <c r="C66">
        <f>IFERROR(VLOOKUP($A66,VOCAB!$A$2:$L$1500,6,FALSE),"")</f>
      </c>
      <c r="D66">
        <f>IFERROR(VLOOKUP($A66,VOCAB!$A$2:$L$1500,8,FALSE),"")</f>
      </c>
      <c r="E66" s="4"/>
      <c r="F66" s="4"/>
      <c r="G66" s="4"/>
      <c r="H66">
        <f>IF($G66="","",$G66+IF($E66=0,1,IF($E66=1,1,IF($E66=2,2,IF($E66=3,4,IF($E66=4,7,14))))))</f>
      </c>
      <c r="I66">
        <f>IF($G66="","Mới",IF($H66&lt;=TODAY(),"ĐẾN HẠN","Lịch"))</f>
      </c>
      <c r="J66">
        <f>IF($I66="ĐẾN HẠN",COUNTIF($I$2:$I66,"ĐẾN HẠN"),"")</f>
      </c>
      <c r="K66" s="4"/>
    </row>
    <row r="67">
      <c r="A67" t="inlineStr">
        <is>
          <t xml:space="preserve">a0_pron_063</t>
        </is>
      </c>
      <c r="B67">
        <f>IFERROR(VLOOKUP($A67,VOCAB!$A$2:$L$1500,5,FALSE),"")</f>
      </c>
      <c r="C67">
        <f>IFERROR(VLOOKUP($A67,VOCAB!$A$2:$L$1500,6,FALSE),"")</f>
      </c>
      <c r="D67">
        <f>IFERROR(VLOOKUP($A67,VOCAB!$A$2:$L$1500,8,FALSE),"")</f>
      </c>
      <c r="E67" s="4"/>
      <c r="F67" s="4"/>
      <c r="G67" s="4"/>
      <c r="H67">
        <f>IF($G67="","",$G67+IF($E67=0,1,IF($E67=1,1,IF($E67=2,2,IF($E67=3,4,IF($E67=4,7,14))))))</f>
      </c>
      <c r="I67">
        <f>IF($G67="","Mới",IF($H67&lt;=TODAY(),"ĐẾN HẠN","Lịch"))</f>
      </c>
      <c r="J67">
        <f>IF($I67="ĐẾN HẠN",COUNTIF($I$2:$I67,"ĐẾN HẠN"),"")</f>
      </c>
      <c r="K67" s="4"/>
    </row>
    <row r="68">
      <c r="A68" t="inlineStr">
        <is>
          <t xml:space="preserve">a0_pron_064</t>
        </is>
      </c>
      <c r="B68">
        <f>IFERROR(VLOOKUP($A68,VOCAB!$A$2:$L$1500,5,FALSE),"")</f>
      </c>
      <c r="C68">
        <f>IFERROR(VLOOKUP($A68,VOCAB!$A$2:$L$1500,6,FALSE),"")</f>
      </c>
      <c r="D68">
        <f>IFERROR(VLOOKUP($A68,VOCAB!$A$2:$L$1500,8,FALSE),"")</f>
      </c>
      <c r="E68" s="4"/>
      <c r="F68" s="4"/>
      <c r="G68" s="4"/>
      <c r="H68">
        <f>IF($G68="","",$G68+IF($E68=0,1,IF($E68=1,1,IF($E68=2,2,IF($E68=3,4,IF($E68=4,7,14))))))</f>
      </c>
      <c r="I68">
        <f>IF($G68="","Mới",IF($H68&lt;=TODAY(),"ĐẾN HẠN","Lịch"))</f>
      </c>
      <c r="J68">
        <f>IF($I68="ĐẾN HẠN",COUNTIF($I$2:$I68,"ĐẾN HẠN"),"")</f>
      </c>
      <c r="K68" s="4"/>
    </row>
    <row r="69">
      <c r="A69" t="inlineStr">
        <is>
          <t xml:space="preserve">a0_pron_065</t>
        </is>
      </c>
      <c r="B69">
        <f>IFERROR(VLOOKUP($A69,VOCAB!$A$2:$L$1500,5,FALSE),"")</f>
      </c>
      <c r="C69">
        <f>IFERROR(VLOOKUP($A69,VOCAB!$A$2:$L$1500,6,FALSE),"")</f>
      </c>
      <c r="D69">
        <f>IFERROR(VLOOKUP($A69,VOCAB!$A$2:$L$1500,8,FALSE),"")</f>
      </c>
      <c r="E69" s="4"/>
      <c r="F69" s="4"/>
      <c r="G69" s="4"/>
      <c r="H69">
        <f>IF($G69="","",$G69+IF($E69=0,1,IF($E69=1,1,IF($E69=2,2,IF($E69=3,4,IF($E69=4,7,14))))))</f>
      </c>
      <c r="I69">
        <f>IF($G69="","Mới",IF($H69&lt;=TODAY(),"ĐẾN HẠN","Lịch"))</f>
      </c>
      <c r="J69">
        <f>IF($I69="ĐẾN HẠN",COUNTIF($I$2:$I69,"ĐẾN HẠN"),"")</f>
      </c>
      <c r="K69" s="4"/>
    </row>
    <row r="70">
      <c r="A70" t="inlineStr">
        <is>
          <t xml:space="preserve">a0_pron_066</t>
        </is>
      </c>
      <c r="B70">
        <f>IFERROR(VLOOKUP($A70,VOCAB!$A$2:$L$1500,5,FALSE),"")</f>
      </c>
      <c r="C70">
        <f>IFERROR(VLOOKUP($A70,VOCAB!$A$2:$L$1500,6,FALSE),"")</f>
      </c>
      <c r="D70">
        <f>IFERROR(VLOOKUP($A70,VOCAB!$A$2:$L$1500,8,FALSE),"")</f>
      </c>
      <c r="E70" s="4"/>
      <c r="F70" s="4"/>
      <c r="G70" s="4"/>
      <c r="H70">
        <f>IF($G70="","",$G70+IF($E70=0,1,IF($E70=1,1,IF($E70=2,2,IF($E70=3,4,IF($E70=4,7,14))))))</f>
      </c>
      <c r="I70">
        <f>IF($G70="","Mới",IF($H70&lt;=TODAY(),"ĐẾN HẠN","Lịch"))</f>
      </c>
      <c r="J70">
        <f>IF($I70="ĐẾN HẠN",COUNTIF($I$2:$I70,"ĐẾN HẠN"),"")</f>
      </c>
      <c r="K70" s="4"/>
    </row>
    <row r="71">
      <c r="A71" t="inlineStr">
        <is>
          <t xml:space="preserve">a0_pron_067</t>
        </is>
      </c>
      <c r="B71">
        <f>IFERROR(VLOOKUP($A71,VOCAB!$A$2:$L$1500,5,FALSE),"")</f>
      </c>
      <c r="C71">
        <f>IFERROR(VLOOKUP($A71,VOCAB!$A$2:$L$1500,6,FALSE),"")</f>
      </c>
      <c r="D71">
        <f>IFERROR(VLOOKUP($A71,VOCAB!$A$2:$L$1500,8,FALSE),"")</f>
      </c>
      <c r="E71" s="4"/>
      <c r="F71" s="4"/>
      <c r="G71" s="4"/>
      <c r="H71">
        <f>IF($G71="","",$G71+IF($E71=0,1,IF($E71=1,1,IF($E71=2,2,IF($E71=3,4,IF($E71=4,7,14))))))</f>
      </c>
      <c r="I71">
        <f>IF($G71="","Mới",IF($H71&lt;=TODAY(),"ĐẾN HẠN","Lịch"))</f>
      </c>
      <c r="J71">
        <f>IF($I71="ĐẾN HẠN",COUNTIF($I$2:$I71,"ĐẾN HẠN"),"")</f>
      </c>
      <c r="K71" s="4"/>
    </row>
    <row r="72">
      <c r="A72" t="inlineStr">
        <is>
          <t xml:space="preserve">a0_pron_068</t>
        </is>
      </c>
      <c r="B72">
        <f>IFERROR(VLOOKUP($A72,VOCAB!$A$2:$L$1500,5,FALSE),"")</f>
      </c>
      <c r="C72">
        <f>IFERROR(VLOOKUP($A72,VOCAB!$A$2:$L$1500,6,FALSE),"")</f>
      </c>
      <c r="D72">
        <f>IFERROR(VLOOKUP($A72,VOCAB!$A$2:$L$1500,8,FALSE),"")</f>
      </c>
      <c r="E72" s="4"/>
      <c r="F72" s="4"/>
      <c r="G72" s="4"/>
      <c r="H72">
        <f>IF($G72="","",$G72+IF($E72=0,1,IF($E72=1,1,IF($E72=2,2,IF($E72=3,4,IF($E72=4,7,14))))))</f>
      </c>
      <c r="I72">
        <f>IF($G72="","Mới",IF($H72&lt;=TODAY(),"ĐẾN HẠN","Lịch"))</f>
      </c>
      <c r="J72">
        <f>IF($I72="ĐẾN HẠN",COUNTIF($I$2:$I72,"ĐẾN HẠN"),"")</f>
      </c>
      <c r="K72" s="4"/>
    </row>
    <row r="73">
      <c r="A73" t="inlineStr">
        <is>
          <t xml:space="preserve">a0_pron_069</t>
        </is>
      </c>
      <c r="B73">
        <f>IFERROR(VLOOKUP($A73,VOCAB!$A$2:$L$1500,5,FALSE),"")</f>
      </c>
      <c r="C73">
        <f>IFERROR(VLOOKUP($A73,VOCAB!$A$2:$L$1500,6,FALSE),"")</f>
      </c>
      <c r="D73">
        <f>IFERROR(VLOOKUP($A73,VOCAB!$A$2:$L$1500,8,FALSE),"")</f>
      </c>
      <c r="E73" s="4"/>
      <c r="F73" s="4"/>
      <c r="G73" s="4"/>
      <c r="H73">
        <f>IF($G73="","",$G73+IF($E73=0,1,IF($E73=1,1,IF($E73=2,2,IF($E73=3,4,IF($E73=4,7,14))))))</f>
      </c>
      <c r="I73">
        <f>IF($G73="","Mới",IF($H73&lt;=TODAY(),"ĐẾN HẠN","Lịch"))</f>
      </c>
      <c r="J73">
        <f>IF($I73="ĐẾN HẠN",COUNTIF($I$2:$I73,"ĐẾN HẠN"),"")</f>
      </c>
      <c r="K73" s="4"/>
    </row>
    <row r="74">
      <c r="A74" t="inlineStr">
        <is>
          <t xml:space="preserve">a0_pron_070</t>
        </is>
      </c>
      <c r="B74">
        <f>IFERROR(VLOOKUP($A74,VOCAB!$A$2:$L$1500,5,FALSE),"")</f>
      </c>
      <c r="C74">
        <f>IFERROR(VLOOKUP($A74,VOCAB!$A$2:$L$1500,6,FALSE),"")</f>
      </c>
      <c r="D74">
        <f>IFERROR(VLOOKUP($A74,VOCAB!$A$2:$L$1500,8,FALSE),"")</f>
      </c>
      <c r="E74" s="4"/>
      <c r="F74" s="4"/>
      <c r="G74" s="4"/>
      <c r="H74">
        <f>IF($G74="","",$G74+IF($E74=0,1,IF($E74=1,1,IF($E74=2,2,IF($E74=3,4,IF($E74=4,7,14))))))</f>
      </c>
      <c r="I74">
        <f>IF($G74="","Mới",IF($H74&lt;=TODAY(),"ĐẾN HẠN","Lịch"))</f>
      </c>
      <c r="J74">
        <f>IF($I74="ĐẾN HẠN",COUNTIF($I$2:$I74,"ĐẾN HẠN"),"")</f>
      </c>
      <c r="K74" s="4"/>
    </row>
    <row r="75">
      <c r="A75" t="inlineStr">
        <is>
          <t xml:space="preserve">a0_pron_071</t>
        </is>
      </c>
      <c r="B75">
        <f>IFERROR(VLOOKUP($A75,VOCAB!$A$2:$L$1500,5,FALSE),"")</f>
      </c>
      <c r="C75">
        <f>IFERROR(VLOOKUP($A75,VOCAB!$A$2:$L$1500,6,FALSE),"")</f>
      </c>
      <c r="D75">
        <f>IFERROR(VLOOKUP($A75,VOCAB!$A$2:$L$1500,8,FALSE),"")</f>
      </c>
      <c r="E75" s="4"/>
      <c r="F75" s="4"/>
      <c r="G75" s="4"/>
      <c r="H75">
        <f>IF($G75="","",$G75+IF($E75=0,1,IF($E75=1,1,IF($E75=2,2,IF($E75=3,4,IF($E75=4,7,14))))))</f>
      </c>
      <c r="I75">
        <f>IF($G75="","Mới",IF($H75&lt;=TODAY(),"ĐẾN HẠN","Lịch"))</f>
      </c>
      <c r="J75">
        <f>IF($I75="ĐẾN HẠN",COUNTIF($I$2:$I75,"ĐẾN HẠN"),"")</f>
      </c>
      <c r="K75" s="4"/>
    </row>
    <row r="76">
      <c r="A76" t="inlineStr">
        <is>
          <t xml:space="preserve">a0_pron_072</t>
        </is>
      </c>
      <c r="B76">
        <f>IFERROR(VLOOKUP($A76,VOCAB!$A$2:$L$1500,5,FALSE),"")</f>
      </c>
      <c r="C76">
        <f>IFERROR(VLOOKUP($A76,VOCAB!$A$2:$L$1500,6,FALSE),"")</f>
      </c>
      <c r="D76">
        <f>IFERROR(VLOOKUP($A76,VOCAB!$A$2:$L$1500,8,FALSE),"")</f>
      </c>
      <c r="E76" s="4"/>
      <c r="F76" s="4"/>
      <c r="G76" s="4"/>
      <c r="H76">
        <f>IF($G76="","",$G76+IF($E76=0,1,IF($E76=1,1,IF($E76=2,2,IF($E76=3,4,IF($E76=4,7,14))))))</f>
      </c>
      <c r="I76">
        <f>IF($G76="","Mới",IF($H76&lt;=TODAY(),"ĐẾN HẠN","Lịch"))</f>
      </c>
      <c r="J76">
        <f>IF($I76="ĐẾN HẠN",COUNTIF($I$2:$I76,"ĐẾN HẠN"),"")</f>
      </c>
      <c r="K76" s="4"/>
    </row>
    <row r="77">
      <c r="A77" t="inlineStr">
        <is>
          <t xml:space="preserve">a0_pron_073</t>
        </is>
      </c>
      <c r="B77">
        <f>IFERROR(VLOOKUP($A77,VOCAB!$A$2:$L$1500,5,FALSE),"")</f>
      </c>
      <c r="C77">
        <f>IFERROR(VLOOKUP($A77,VOCAB!$A$2:$L$1500,6,FALSE),"")</f>
      </c>
      <c r="D77">
        <f>IFERROR(VLOOKUP($A77,VOCAB!$A$2:$L$1500,8,FALSE),"")</f>
      </c>
      <c r="E77" s="4"/>
      <c r="F77" s="4"/>
      <c r="G77" s="4"/>
      <c r="H77">
        <f>IF($G77="","",$G77+IF($E77=0,1,IF($E77=1,1,IF($E77=2,2,IF($E77=3,4,IF($E77=4,7,14))))))</f>
      </c>
      <c r="I77">
        <f>IF($G77="","Mới",IF($H77&lt;=TODAY(),"ĐẾN HẠN","Lịch"))</f>
      </c>
      <c r="J77">
        <f>IF($I77="ĐẾN HẠN",COUNTIF($I$2:$I77,"ĐẾN HẠN"),"")</f>
      </c>
      <c r="K77" s="4"/>
    </row>
    <row r="78">
      <c r="A78" t="inlineStr">
        <is>
          <t xml:space="preserve">a0_pron_074</t>
        </is>
      </c>
      <c r="B78">
        <f>IFERROR(VLOOKUP($A78,VOCAB!$A$2:$L$1500,5,FALSE),"")</f>
      </c>
      <c r="C78">
        <f>IFERROR(VLOOKUP($A78,VOCAB!$A$2:$L$1500,6,FALSE),"")</f>
      </c>
      <c r="D78">
        <f>IFERROR(VLOOKUP($A78,VOCAB!$A$2:$L$1500,8,FALSE),"")</f>
      </c>
      <c r="E78" s="4"/>
      <c r="F78" s="4"/>
      <c r="G78" s="4"/>
      <c r="H78">
        <f>IF($G78="","",$G78+IF($E78=0,1,IF($E78=1,1,IF($E78=2,2,IF($E78=3,4,IF($E78=4,7,14))))))</f>
      </c>
      <c r="I78">
        <f>IF($G78="","Mới",IF($H78&lt;=TODAY(),"ĐẾN HẠN","Lịch"))</f>
      </c>
      <c r="J78">
        <f>IF($I78="ĐẾN HẠN",COUNTIF($I$2:$I78,"ĐẾN HẠN"),"")</f>
      </c>
      <c r="K78" s="4"/>
    </row>
    <row r="79">
      <c r="A79" t="inlineStr">
        <is>
          <t xml:space="preserve">a0_pron_075</t>
        </is>
      </c>
      <c r="B79">
        <f>IFERROR(VLOOKUP($A79,VOCAB!$A$2:$L$1500,5,FALSE),"")</f>
      </c>
      <c r="C79">
        <f>IFERROR(VLOOKUP($A79,VOCAB!$A$2:$L$1500,6,FALSE),"")</f>
      </c>
      <c r="D79">
        <f>IFERROR(VLOOKUP($A79,VOCAB!$A$2:$L$1500,8,FALSE),"")</f>
      </c>
      <c r="E79" s="4"/>
      <c r="F79" s="4"/>
      <c r="G79" s="4"/>
      <c r="H79">
        <f>IF($G79="","",$G79+IF($E79=0,1,IF($E79=1,1,IF($E79=2,2,IF($E79=3,4,IF($E79=4,7,14))))))</f>
      </c>
      <c r="I79">
        <f>IF($G79="","Mới",IF($H79&lt;=TODAY(),"ĐẾN HẠN","Lịch"))</f>
      </c>
      <c r="J79">
        <f>IF($I79="ĐẾN HẠN",COUNTIF($I$2:$I79,"ĐẾN HẠN"),"")</f>
      </c>
      <c r="K79" s="4"/>
    </row>
    <row r="80">
      <c r="A80" t="inlineStr">
        <is>
          <t xml:space="preserve">a0_pron_076</t>
        </is>
      </c>
      <c r="B80">
        <f>IFERROR(VLOOKUP($A80,VOCAB!$A$2:$L$1500,5,FALSE),"")</f>
      </c>
      <c r="C80">
        <f>IFERROR(VLOOKUP($A80,VOCAB!$A$2:$L$1500,6,FALSE),"")</f>
      </c>
      <c r="D80">
        <f>IFERROR(VLOOKUP($A80,VOCAB!$A$2:$L$1500,8,FALSE),"")</f>
      </c>
      <c r="E80" s="4"/>
      <c r="F80" s="4"/>
      <c r="G80" s="4"/>
      <c r="H80">
        <f>IF($G80="","",$G80+IF($E80=0,1,IF($E80=1,1,IF($E80=2,2,IF($E80=3,4,IF($E80=4,7,14))))))</f>
      </c>
      <c r="I80">
        <f>IF($G80="","Mới",IF($H80&lt;=TODAY(),"ĐẾN HẠN","Lịch"))</f>
      </c>
      <c r="J80">
        <f>IF($I80="ĐẾN HẠN",COUNTIF($I$2:$I80,"ĐẾN HẠN"),"")</f>
      </c>
      <c r="K80" s="4"/>
    </row>
    <row r="81">
      <c r="A81" t="inlineStr">
        <is>
          <t xml:space="preserve">a0_pron_077</t>
        </is>
      </c>
      <c r="B81">
        <f>IFERROR(VLOOKUP($A81,VOCAB!$A$2:$L$1500,5,FALSE),"")</f>
      </c>
      <c r="C81">
        <f>IFERROR(VLOOKUP($A81,VOCAB!$A$2:$L$1500,6,FALSE),"")</f>
      </c>
      <c r="D81">
        <f>IFERROR(VLOOKUP($A81,VOCAB!$A$2:$L$1500,8,FALSE),"")</f>
      </c>
      <c r="E81" s="4"/>
      <c r="F81" s="4"/>
      <c r="G81" s="4"/>
      <c r="H81">
        <f>IF($G81="","",$G81+IF($E81=0,1,IF($E81=1,1,IF($E81=2,2,IF($E81=3,4,IF($E81=4,7,14))))))</f>
      </c>
      <c r="I81">
        <f>IF($G81="","Mới",IF($H81&lt;=TODAY(),"ĐẾN HẠN","Lịch"))</f>
      </c>
      <c r="J81">
        <f>IF($I81="ĐẾN HẠN",COUNTIF($I$2:$I81,"ĐẾN HẠN"),"")</f>
      </c>
      <c r="K81" s="4"/>
    </row>
    <row r="82">
      <c r="A82" t="inlineStr">
        <is>
          <t xml:space="preserve">a0_pron_078</t>
        </is>
      </c>
      <c r="B82">
        <f>IFERROR(VLOOKUP($A82,VOCAB!$A$2:$L$1500,5,FALSE),"")</f>
      </c>
      <c r="C82">
        <f>IFERROR(VLOOKUP($A82,VOCAB!$A$2:$L$1500,6,FALSE),"")</f>
      </c>
      <c r="D82">
        <f>IFERROR(VLOOKUP($A82,VOCAB!$A$2:$L$1500,8,FALSE),"")</f>
      </c>
      <c r="E82" s="4"/>
      <c r="F82" s="4"/>
      <c r="G82" s="4"/>
      <c r="H82">
        <f>IF($G82="","",$G82+IF($E82=0,1,IF($E82=1,1,IF($E82=2,2,IF($E82=3,4,IF($E82=4,7,14))))))</f>
      </c>
      <c r="I82">
        <f>IF($G82="","Mới",IF($H82&lt;=TODAY(),"ĐẾN HẠN","Lịch"))</f>
      </c>
      <c r="J82">
        <f>IF($I82="ĐẾN HẠN",COUNTIF($I$2:$I82,"ĐẾN HẠN"),"")</f>
      </c>
      <c r="K82" s="4"/>
    </row>
    <row r="83">
      <c r="A83" t="inlineStr">
        <is>
          <t xml:space="preserve">a0_pron_079</t>
        </is>
      </c>
      <c r="B83">
        <f>IFERROR(VLOOKUP($A83,VOCAB!$A$2:$L$1500,5,FALSE),"")</f>
      </c>
      <c r="C83">
        <f>IFERROR(VLOOKUP($A83,VOCAB!$A$2:$L$1500,6,FALSE),"")</f>
      </c>
      <c r="D83">
        <f>IFERROR(VLOOKUP($A83,VOCAB!$A$2:$L$1500,8,FALSE),"")</f>
      </c>
      <c r="E83" s="4"/>
      <c r="F83" s="4"/>
      <c r="G83" s="4"/>
      <c r="H83">
        <f>IF($G83="","",$G83+IF($E83=0,1,IF($E83=1,1,IF($E83=2,2,IF($E83=3,4,IF($E83=4,7,14))))))</f>
      </c>
      <c r="I83">
        <f>IF($G83="","Mới",IF($H83&lt;=TODAY(),"ĐẾN HẠN","Lịch"))</f>
      </c>
      <c r="J83">
        <f>IF($I83="ĐẾN HẠN",COUNTIF($I$2:$I83,"ĐẾN HẠN"),"")</f>
      </c>
      <c r="K83" s="4"/>
    </row>
    <row r="84">
      <c r="A84" t="inlineStr">
        <is>
          <t xml:space="preserve">a0_pron_080</t>
        </is>
      </c>
      <c r="B84">
        <f>IFERROR(VLOOKUP($A84,VOCAB!$A$2:$L$1500,5,FALSE),"")</f>
      </c>
      <c r="C84">
        <f>IFERROR(VLOOKUP($A84,VOCAB!$A$2:$L$1500,6,FALSE),"")</f>
      </c>
      <c r="D84">
        <f>IFERROR(VLOOKUP($A84,VOCAB!$A$2:$L$1500,8,FALSE),"")</f>
      </c>
      <c r="E84" s="4"/>
      <c r="F84" s="4"/>
      <c r="G84" s="4"/>
      <c r="H84">
        <f>IF($G84="","",$G84+IF($E84=0,1,IF($E84=1,1,IF($E84=2,2,IF($E84=3,4,IF($E84=4,7,14))))))</f>
      </c>
      <c r="I84">
        <f>IF($G84="","Mới",IF($H84&lt;=TODAY(),"ĐẾN HẠN","Lịch"))</f>
      </c>
      <c r="J84">
        <f>IF($I84="ĐẾN HẠN",COUNTIF($I$2:$I84,"ĐẾN HẠN"),"")</f>
      </c>
      <c r="K84" s="4"/>
    </row>
    <row r="85">
      <c r="A85" t="inlineStr">
        <is>
          <t xml:space="preserve">a0_obj_081</t>
        </is>
      </c>
      <c r="B85">
        <f>IFERROR(VLOOKUP($A85,VOCAB!$A$2:$L$1500,5,FALSE),"")</f>
      </c>
      <c r="C85">
        <f>IFERROR(VLOOKUP($A85,VOCAB!$A$2:$L$1500,6,FALSE),"")</f>
      </c>
      <c r="D85">
        <f>IFERROR(VLOOKUP($A85,VOCAB!$A$2:$L$1500,8,FALSE),"")</f>
      </c>
      <c r="E85" s="4"/>
      <c r="F85" s="4"/>
      <c r="G85" s="4"/>
      <c r="H85">
        <f>IF($G85="","",$G85+IF($E85=0,1,IF($E85=1,1,IF($E85=2,2,IF($E85=3,4,IF($E85=4,7,14))))))</f>
      </c>
      <c r="I85">
        <f>IF($G85="","Mới",IF($H85&lt;=TODAY(),"ĐẾN HẠN","Lịch"))</f>
      </c>
      <c r="J85">
        <f>IF($I85="ĐẾN HẠN",COUNTIF($I$2:$I85,"ĐẾN HẠN"),"")</f>
      </c>
      <c r="K85" s="4"/>
    </row>
    <row r="86">
      <c r="A86" t="inlineStr">
        <is>
          <t xml:space="preserve">a0_obj_082</t>
        </is>
      </c>
      <c r="B86">
        <f>IFERROR(VLOOKUP($A86,VOCAB!$A$2:$L$1500,5,FALSE),"")</f>
      </c>
      <c r="C86">
        <f>IFERROR(VLOOKUP($A86,VOCAB!$A$2:$L$1500,6,FALSE),"")</f>
      </c>
      <c r="D86">
        <f>IFERROR(VLOOKUP($A86,VOCAB!$A$2:$L$1500,8,FALSE),"")</f>
      </c>
      <c r="E86" s="4"/>
      <c r="F86" s="4"/>
      <c r="G86" s="4"/>
      <c r="H86">
        <f>IF($G86="","",$G86+IF($E86=0,1,IF($E86=1,1,IF($E86=2,2,IF($E86=3,4,IF($E86=4,7,14))))))</f>
      </c>
      <c r="I86">
        <f>IF($G86="","Mới",IF($H86&lt;=TODAY(),"ĐẾN HẠN","Lịch"))</f>
      </c>
      <c r="J86">
        <f>IF($I86="ĐẾN HẠN",COUNTIF($I$2:$I86,"ĐẾN HẠN"),"")</f>
      </c>
      <c r="K86" s="4"/>
    </row>
    <row r="87">
      <c r="A87" t="inlineStr">
        <is>
          <t xml:space="preserve">a0_obj_083</t>
        </is>
      </c>
      <c r="B87">
        <f>IFERROR(VLOOKUP($A87,VOCAB!$A$2:$L$1500,5,FALSE),"")</f>
      </c>
      <c r="C87">
        <f>IFERROR(VLOOKUP($A87,VOCAB!$A$2:$L$1500,6,FALSE),"")</f>
      </c>
      <c r="D87">
        <f>IFERROR(VLOOKUP($A87,VOCAB!$A$2:$L$1500,8,FALSE),"")</f>
      </c>
      <c r="E87" s="4"/>
      <c r="F87" s="4"/>
      <c r="G87" s="4"/>
      <c r="H87">
        <f>IF($G87="","",$G87+IF($E87=0,1,IF($E87=1,1,IF($E87=2,2,IF($E87=3,4,IF($E87=4,7,14))))))</f>
      </c>
      <c r="I87">
        <f>IF($G87="","Mới",IF($H87&lt;=TODAY(),"ĐẾN HẠN","Lịch"))</f>
      </c>
      <c r="J87">
        <f>IF($I87="ĐẾN HẠN",COUNTIF($I$2:$I87,"ĐẾN HẠN"),"")</f>
      </c>
      <c r="K87" s="4"/>
    </row>
    <row r="88">
      <c r="A88" t="inlineStr">
        <is>
          <t xml:space="preserve">a0_obj_084</t>
        </is>
      </c>
      <c r="B88">
        <f>IFERROR(VLOOKUP($A88,VOCAB!$A$2:$L$1500,5,FALSE),"")</f>
      </c>
      <c r="C88">
        <f>IFERROR(VLOOKUP($A88,VOCAB!$A$2:$L$1500,6,FALSE),"")</f>
      </c>
      <c r="D88">
        <f>IFERROR(VLOOKUP($A88,VOCAB!$A$2:$L$1500,8,FALSE),"")</f>
      </c>
      <c r="E88" s="4"/>
      <c r="F88" s="4"/>
      <c r="G88" s="4"/>
      <c r="H88">
        <f>IF($G88="","",$G88+IF($E88=0,1,IF($E88=1,1,IF($E88=2,2,IF($E88=3,4,IF($E88=4,7,14))))))</f>
      </c>
      <c r="I88">
        <f>IF($G88="","Mới",IF($H88&lt;=TODAY(),"ĐẾN HẠN","Lịch"))</f>
      </c>
      <c r="J88">
        <f>IF($I88="ĐẾN HẠN",COUNTIF($I$2:$I88,"ĐẾN HẠN"),"")</f>
      </c>
      <c r="K88" s="4"/>
    </row>
    <row r="89">
      <c r="A89" t="inlineStr">
        <is>
          <t xml:space="preserve">a0_obj_085</t>
        </is>
      </c>
      <c r="B89">
        <f>IFERROR(VLOOKUP($A89,VOCAB!$A$2:$L$1500,5,FALSE),"")</f>
      </c>
      <c r="C89">
        <f>IFERROR(VLOOKUP($A89,VOCAB!$A$2:$L$1500,6,FALSE),"")</f>
      </c>
      <c r="D89">
        <f>IFERROR(VLOOKUP($A89,VOCAB!$A$2:$L$1500,8,FALSE),"")</f>
      </c>
      <c r="E89" s="4"/>
      <c r="F89" s="4"/>
      <c r="G89" s="4"/>
      <c r="H89">
        <f>IF($G89="","",$G89+IF($E89=0,1,IF($E89=1,1,IF($E89=2,2,IF($E89=3,4,IF($E89=4,7,14))))))</f>
      </c>
      <c r="I89">
        <f>IF($G89="","Mới",IF($H89&lt;=TODAY(),"ĐẾN HẠN","Lịch"))</f>
      </c>
      <c r="J89">
        <f>IF($I89="ĐẾN HẠN",COUNTIF($I$2:$I89,"ĐẾN HẠN"),"")</f>
      </c>
      <c r="K89" s="4"/>
    </row>
    <row r="90">
      <c r="A90" t="inlineStr">
        <is>
          <t xml:space="preserve">a0_obj_086</t>
        </is>
      </c>
      <c r="B90">
        <f>IFERROR(VLOOKUP($A90,VOCAB!$A$2:$L$1500,5,FALSE),"")</f>
      </c>
      <c r="C90">
        <f>IFERROR(VLOOKUP($A90,VOCAB!$A$2:$L$1500,6,FALSE),"")</f>
      </c>
      <c r="D90">
        <f>IFERROR(VLOOKUP($A90,VOCAB!$A$2:$L$1500,8,FALSE),"")</f>
      </c>
      <c r="E90" s="4"/>
      <c r="F90" s="4"/>
      <c r="G90" s="4"/>
      <c r="H90">
        <f>IF($G90="","",$G90+IF($E90=0,1,IF($E90=1,1,IF($E90=2,2,IF($E90=3,4,IF($E90=4,7,14))))))</f>
      </c>
      <c r="I90">
        <f>IF($G90="","Mới",IF($H90&lt;=TODAY(),"ĐẾN HẠN","Lịch"))</f>
      </c>
      <c r="J90">
        <f>IF($I90="ĐẾN HẠN",COUNTIF($I$2:$I90,"ĐẾN HẠN"),"")</f>
      </c>
      <c r="K90" s="4"/>
    </row>
    <row r="91">
      <c r="A91" t="inlineStr">
        <is>
          <t xml:space="preserve">a0_obj_087</t>
        </is>
      </c>
      <c r="B91">
        <f>IFERROR(VLOOKUP($A91,VOCAB!$A$2:$L$1500,5,FALSE),"")</f>
      </c>
      <c r="C91">
        <f>IFERROR(VLOOKUP($A91,VOCAB!$A$2:$L$1500,6,FALSE),"")</f>
      </c>
      <c r="D91">
        <f>IFERROR(VLOOKUP($A91,VOCAB!$A$2:$L$1500,8,FALSE),"")</f>
      </c>
      <c r="E91" s="4"/>
      <c r="F91" s="4"/>
      <c r="G91" s="4"/>
      <c r="H91">
        <f>IF($G91="","",$G91+IF($E91=0,1,IF($E91=1,1,IF($E91=2,2,IF($E91=3,4,IF($E91=4,7,14))))))</f>
      </c>
      <c r="I91">
        <f>IF($G91="","Mới",IF($H91&lt;=TODAY(),"ĐẾN HẠN","Lịch"))</f>
      </c>
      <c r="J91">
        <f>IF($I91="ĐẾN HẠN",COUNTIF($I$2:$I91,"ĐẾN HẠN"),"")</f>
      </c>
      <c r="K91" s="4"/>
    </row>
    <row r="92">
      <c r="A92" t="inlineStr">
        <is>
          <t xml:space="preserve">a0_obj_088</t>
        </is>
      </c>
      <c r="B92">
        <f>IFERROR(VLOOKUP($A92,VOCAB!$A$2:$L$1500,5,FALSE),"")</f>
      </c>
      <c r="C92">
        <f>IFERROR(VLOOKUP($A92,VOCAB!$A$2:$L$1500,6,FALSE),"")</f>
      </c>
      <c r="D92">
        <f>IFERROR(VLOOKUP($A92,VOCAB!$A$2:$L$1500,8,FALSE),"")</f>
      </c>
      <c r="E92" s="4"/>
      <c r="F92" s="4"/>
      <c r="G92" s="4"/>
      <c r="H92">
        <f>IF($G92="","",$G92+IF($E92=0,1,IF($E92=1,1,IF($E92=2,2,IF($E92=3,4,IF($E92=4,7,14))))))</f>
      </c>
      <c r="I92">
        <f>IF($G92="","Mới",IF($H92&lt;=TODAY(),"ĐẾN HẠN","Lịch"))</f>
      </c>
      <c r="J92">
        <f>IF($I92="ĐẾN HẠN",COUNTIF($I$2:$I92,"ĐẾN HẠN"),"")</f>
      </c>
      <c r="K92" s="4"/>
    </row>
    <row r="93">
      <c r="A93" t="inlineStr">
        <is>
          <t xml:space="preserve">a0_obj_089</t>
        </is>
      </c>
      <c r="B93">
        <f>IFERROR(VLOOKUP($A93,VOCAB!$A$2:$L$1500,5,FALSE),"")</f>
      </c>
      <c r="C93">
        <f>IFERROR(VLOOKUP($A93,VOCAB!$A$2:$L$1500,6,FALSE),"")</f>
      </c>
      <c r="D93">
        <f>IFERROR(VLOOKUP($A93,VOCAB!$A$2:$L$1500,8,FALSE),"")</f>
      </c>
      <c r="E93" s="4"/>
      <c r="F93" s="4"/>
      <c r="G93" s="4"/>
      <c r="H93">
        <f>IF($G93="","",$G93+IF($E93=0,1,IF($E93=1,1,IF($E93=2,2,IF($E93=3,4,IF($E93=4,7,14))))))</f>
      </c>
      <c r="I93">
        <f>IF($G93="","Mới",IF($H93&lt;=TODAY(),"ĐẾN HẠN","Lịch"))</f>
      </c>
      <c r="J93">
        <f>IF($I93="ĐẾN HẠN",COUNTIF($I$2:$I93,"ĐẾN HẠN"),"")</f>
      </c>
      <c r="K93" s="4"/>
    </row>
    <row r="94">
      <c r="A94" t="inlineStr">
        <is>
          <t xml:space="preserve">a0_obj_090</t>
        </is>
      </c>
      <c r="B94">
        <f>IFERROR(VLOOKUP($A94,VOCAB!$A$2:$L$1500,5,FALSE),"")</f>
      </c>
      <c r="C94">
        <f>IFERROR(VLOOKUP($A94,VOCAB!$A$2:$L$1500,6,FALSE),"")</f>
      </c>
      <c r="D94">
        <f>IFERROR(VLOOKUP($A94,VOCAB!$A$2:$L$1500,8,FALSE),"")</f>
      </c>
      <c r="E94" s="4"/>
      <c r="F94" s="4"/>
      <c r="G94" s="4"/>
      <c r="H94">
        <f>IF($G94="","",$G94+IF($E94=0,1,IF($E94=1,1,IF($E94=2,2,IF($E94=3,4,IF($E94=4,7,14))))))</f>
      </c>
      <c r="I94">
        <f>IF($G94="","Mới",IF($H94&lt;=TODAY(),"ĐẾN HẠN","Lịch"))</f>
      </c>
      <c r="J94">
        <f>IF($I94="ĐẾN HẠN",COUNTIF($I$2:$I94,"ĐẾN HẠN"),"")</f>
      </c>
      <c r="K94" s="4"/>
    </row>
    <row r="95">
      <c r="A95" t="inlineStr">
        <is>
          <t xml:space="preserve">a0_obj_091</t>
        </is>
      </c>
      <c r="B95">
        <f>IFERROR(VLOOKUP($A95,VOCAB!$A$2:$L$1500,5,FALSE),"")</f>
      </c>
      <c r="C95">
        <f>IFERROR(VLOOKUP($A95,VOCAB!$A$2:$L$1500,6,FALSE),"")</f>
      </c>
      <c r="D95">
        <f>IFERROR(VLOOKUP($A95,VOCAB!$A$2:$L$1500,8,FALSE),"")</f>
      </c>
      <c r="E95" s="4"/>
      <c r="F95" s="4"/>
      <c r="G95" s="4"/>
      <c r="H95">
        <f>IF($G95="","",$G95+IF($E95=0,1,IF($E95=1,1,IF($E95=2,2,IF($E95=3,4,IF($E95=4,7,14))))))</f>
      </c>
      <c r="I95">
        <f>IF($G95="","Mới",IF($H95&lt;=TODAY(),"ĐẾN HẠN","Lịch"))</f>
      </c>
      <c r="J95">
        <f>IF($I95="ĐẾN HẠN",COUNTIF($I$2:$I95,"ĐẾN HẠN"),"")</f>
      </c>
      <c r="K95" s="4"/>
    </row>
    <row r="96">
      <c r="A96" t="inlineStr">
        <is>
          <t xml:space="preserve">a0_obj_092</t>
        </is>
      </c>
      <c r="B96">
        <f>IFERROR(VLOOKUP($A96,VOCAB!$A$2:$L$1500,5,FALSE),"")</f>
      </c>
      <c r="C96">
        <f>IFERROR(VLOOKUP($A96,VOCAB!$A$2:$L$1500,6,FALSE),"")</f>
      </c>
      <c r="D96">
        <f>IFERROR(VLOOKUP($A96,VOCAB!$A$2:$L$1500,8,FALSE),"")</f>
      </c>
      <c r="E96" s="4"/>
      <c r="F96" s="4"/>
      <c r="G96" s="4"/>
      <c r="H96">
        <f>IF($G96="","",$G96+IF($E96=0,1,IF($E96=1,1,IF($E96=2,2,IF($E96=3,4,IF($E96=4,7,14))))))</f>
      </c>
      <c r="I96">
        <f>IF($G96="","Mới",IF($H96&lt;=TODAY(),"ĐẾN HẠN","Lịch"))</f>
      </c>
      <c r="J96">
        <f>IF($I96="ĐẾN HẠN",COUNTIF($I$2:$I96,"ĐẾN HẠN"),"")</f>
      </c>
      <c r="K96" s="4"/>
    </row>
    <row r="97">
      <c r="A97" t="inlineStr">
        <is>
          <t xml:space="preserve">a0_obj_093</t>
        </is>
      </c>
      <c r="B97">
        <f>IFERROR(VLOOKUP($A97,VOCAB!$A$2:$L$1500,5,FALSE),"")</f>
      </c>
      <c r="C97">
        <f>IFERROR(VLOOKUP($A97,VOCAB!$A$2:$L$1500,6,FALSE),"")</f>
      </c>
      <c r="D97">
        <f>IFERROR(VLOOKUP($A97,VOCAB!$A$2:$L$1500,8,FALSE),"")</f>
      </c>
      <c r="E97" s="4"/>
      <c r="F97" s="4"/>
      <c r="G97" s="4"/>
      <c r="H97">
        <f>IF($G97="","",$G97+IF($E97=0,1,IF($E97=1,1,IF($E97=2,2,IF($E97=3,4,IF($E97=4,7,14))))))</f>
      </c>
      <c r="I97">
        <f>IF($G97="","Mới",IF($H97&lt;=TODAY(),"ĐẾN HẠN","Lịch"))</f>
      </c>
      <c r="J97">
        <f>IF($I97="ĐẾN HẠN",COUNTIF($I$2:$I97,"ĐẾN HẠN"),"")</f>
      </c>
      <c r="K97" s="4"/>
    </row>
    <row r="98">
      <c r="A98" t="inlineStr">
        <is>
          <t xml:space="preserve">a0_obj_094</t>
        </is>
      </c>
      <c r="B98">
        <f>IFERROR(VLOOKUP($A98,VOCAB!$A$2:$L$1500,5,FALSE),"")</f>
      </c>
      <c r="C98">
        <f>IFERROR(VLOOKUP($A98,VOCAB!$A$2:$L$1500,6,FALSE),"")</f>
      </c>
      <c r="D98">
        <f>IFERROR(VLOOKUP($A98,VOCAB!$A$2:$L$1500,8,FALSE),"")</f>
      </c>
      <c r="E98" s="4"/>
      <c r="F98" s="4"/>
      <c r="G98" s="4"/>
      <c r="H98">
        <f>IF($G98="","",$G98+IF($E98=0,1,IF($E98=1,1,IF($E98=2,2,IF($E98=3,4,IF($E98=4,7,14))))))</f>
      </c>
      <c r="I98">
        <f>IF($G98="","Mới",IF($H98&lt;=TODAY(),"ĐẾN HẠN","Lịch"))</f>
      </c>
      <c r="J98">
        <f>IF($I98="ĐẾN HẠN",COUNTIF($I$2:$I98,"ĐẾN HẠN"),"")</f>
      </c>
      <c r="K98" s="4"/>
    </row>
    <row r="99">
      <c r="A99" t="inlineStr">
        <is>
          <t xml:space="preserve">a0_obj_095</t>
        </is>
      </c>
      <c r="B99">
        <f>IFERROR(VLOOKUP($A99,VOCAB!$A$2:$L$1500,5,FALSE),"")</f>
      </c>
      <c r="C99">
        <f>IFERROR(VLOOKUP($A99,VOCAB!$A$2:$L$1500,6,FALSE),"")</f>
      </c>
      <c r="D99">
        <f>IFERROR(VLOOKUP($A99,VOCAB!$A$2:$L$1500,8,FALSE),"")</f>
      </c>
      <c r="E99" s="4"/>
      <c r="F99" s="4"/>
      <c r="G99" s="4"/>
      <c r="H99">
        <f>IF($G99="","",$G99+IF($E99=0,1,IF($E99=1,1,IF($E99=2,2,IF($E99=3,4,IF($E99=4,7,14))))))</f>
      </c>
      <c r="I99">
        <f>IF($G99="","Mới",IF($H99&lt;=TODAY(),"ĐẾN HẠN","Lịch"))</f>
      </c>
      <c r="J99">
        <f>IF($I99="ĐẾN HẠN",COUNTIF($I$2:$I99,"ĐẾN HẠN"),"")</f>
      </c>
      <c r="K99" s="4"/>
    </row>
    <row r="100">
      <c r="A100" t="inlineStr">
        <is>
          <t xml:space="preserve">a0_obj_096</t>
        </is>
      </c>
      <c r="B100">
        <f>IFERROR(VLOOKUP($A100,VOCAB!$A$2:$L$1500,5,FALSE),"")</f>
      </c>
      <c r="C100">
        <f>IFERROR(VLOOKUP($A100,VOCAB!$A$2:$L$1500,6,FALSE),"")</f>
      </c>
      <c r="D100">
        <f>IFERROR(VLOOKUP($A100,VOCAB!$A$2:$L$1500,8,FALSE),"")</f>
      </c>
      <c r="E100" s="4"/>
      <c r="F100" s="4"/>
      <c r="G100" s="4"/>
      <c r="H100">
        <f>IF($G100="","",$G100+IF($E100=0,1,IF($E100=1,1,IF($E100=2,2,IF($E100=3,4,IF($E100=4,7,14))))))</f>
      </c>
      <c r="I100">
        <f>IF($G100="","Mới",IF($H100&lt;=TODAY(),"ĐẾN HẠN","Lịch"))</f>
      </c>
      <c r="J100">
        <f>IF($I100="ĐẾN HẠN",COUNTIF($I$2:$I100,"ĐẾN HẠN"),"")</f>
      </c>
      <c r="K100" s="4"/>
    </row>
    <row r="101">
      <c r="A101" t="inlineStr">
        <is>
          <t xml:space="preserve">a0_place_097</t>
        </is>
      </c>
      <c r="B101">
        <f>IFERROR(VLOOKUP($A101,VOCAB!$A$2:$L$1500,5,FALSE),"")</f>
      </c>
      <c r="C101">
        <f>IFERROR(VLOOKUP($A101,VOCAB!$A$2:$L$1500,6,FALSE),"")</f>
      </c>
      <c r="D101">
        <f>IFERROR(VLOOKUP($A101,VOCAB!$A$2:$L$1500,8,FALSE),"")</f>
      </c>
      <c r="E101" s="4"/>
      <c r="F101" s="4"/>
      <c r="G101" s="4"/>
      <c r="H101">
        <f>IF($G101="","",$G101+IF($E101=0,1,IF($E101=1,1,IF($E101=2,2,IF($E101=3,4,IF($E101=4,7,14))))))</f>
      </c>
      <c r="I101">
        <f>IF($G101="","Mới",IF($H101&lt;=TODAY(),"ĐẾN HẠN","Lịch"))</f>
      </c>
      <c r="J101">
        <f>IF($I101="ĐẾN HẠN",COUNTIF($I$2:$I101,"ĐẾN HẠN"),"")</f>
      </c>
      <c r="K101" s="4"/>
    </row>
    <row r="102">
      <c r="A102" t="inlineStr">
        <is>
          <t xml:space="preserve">a0_place_098</t>
        </is>
      </c>
      <c r="B102">
        <f>IFERROR(VLOOKUP($A102,VOCAB!$A$2:$L$1500,5,FALSE),"")</f>
      </c>
      <c r="C102">
        <f>IFERROR(VLOOKUP($A102,VOCAB!$A$2:$L$1500,6,FALSE),"")</f>
      </c>
      <c r="D102">
        <f>IFERROR(VLOOKUP($A102,VOCAB!$A$2:$L$1500,8,FALSE),"")</f>
      </c>
      <c r="E102" s="4"/>
      <c r="F102" s="4"/>
      <c r="G102" s="4"/>
      <c r="H102">
        <f>IF($G102="","",$G102+IF($E102=0,1,IF($E102=1,1,IF($E102=2,2,IF($E102=3,4,IF($E102=4,7,14))))))</f>
      </c>
      <c r="I102">
        <f>IF($G102="","Mới",IF($H102&lt;=TODAY(),"ĐẾN HẠN","Lịch"))</f>
      </c>
      <c r="J102">
        <f>IF($I102="ĐẾN HẠN",COUNTIF($I$2:$I102,"ĐẾN HẠN"),"")</f>
      </c>
      <c r="K102" s="4"/>
    </row>
    <row r="103">
      <c r="A103" t="inlineStr">
        <is>
          <t xml:space="preserve">a0_place_099</t>
        </is>
      </c>
      <c r="B103">
        <f>IFERROR(VLOOKUP($A103,VOCAB!$A$2:$L$1500,5,FALSE),"")</f>
      </c>
      <c r="C103">
        <f>IFERROR(VLOOKUP($A103,VOCAB!$A$2:$L$1500,6,FALSE),"")</f>
      </c>
      <c r="D103">
        <f>IFERROR(VLOOKUP($A103,VOCAB!$A$2:$L$1500,8,FALSE),"")</f>
      </c>
      <c r="E103" s="4"/>
      <c r="F103" s="4"/>
      <c r="G103" s="4"/>
      <c r="H103">
        <f>IF($G103="","",$G103+IF($E103=0,1,IF($E103=1,1,IF($E103=2,2,IF($E103=3,4,IF($E103=4,7,14))))))</f>
      </c>
      <c r="I103">
        <f>IF($G103="","Mới",IF($H103&lt;=TODAY(),"ĐẾN HẠN","Lịch"))</f>
      </c>
      <c r="J103">
        <f>IF($I103="ĐẾN HẠN",COUNTIF($I$2:$I103,"ĐẾN HẠN"),"")</f>
      </c>
      <c r="K103" s="4"/>
    </row>
    <row r="104">
      <c r="A104" t="inlineStr">
        <is>
          <t xml:space="preserve">a0_place_100</t>
        </is>
      </c>
      <c r="B104">
        <f>IFERROR(VLOOKUP($A104,VOCAB!$A$2:$L$1500,5,FALSE),"")</f>
      </c>
      <c r="C104">
        <f>IFERROR(VLOOKUP($A104,VOCAB!$A$2:$L$1500,6,FALSE),"")</f>
      </c>
      <c r="D104">
        <f>IFERROR(VLOOKUP($A104,VOCAB!$A$2:$L$1500,8,FALSE),"")</f>
      </c>
      <c r="E104" s="4"/>
      <c r="F104" s="4"/>
      <c r="G104" s="4"/>
      <c r="H104">
        <f>IF($G104="","",$G104+IF($E104=0,1,IF($E104=1,1,IF($E104=2,2,IF($E104=3,4,IF($E104=4,7,14))))))</f>
      </c>
      <c r="I104">
        <f>IF($G104="","Mới",IF($H104&lt;=TODAY(),"ĐẾN HẠN","Lịch"))</f>
      </c>
      <c r="J104">
        <f>IF($I104="ĐẾN HẠN",COUNTIF($I$2:$I104,"ĐẾN HẠN"),"")</f>
      </c>
      <c r="K104" s="4"/>
    </row>
    <row r="105">
      <c r="A105" t="inlineStr">
        <is>
          <t xml:space="preserve">a0_place_101</t>
        </is>
      </c>
      <c r="B105">
        <f>IFERROR(VLOOKUP($A105,VOCAB!$A$2:$L$1500,5,FALSE),"")</f>
      </c>
      <c r="C105">
        <f>IFERROR(VLOOKUP($A105,VOCAB!$A$2:$L$1500,6,FALSE),"")</f>
      </c>
      <c r="D105">
        <f>IFERROR(VLOOKUP($A105,VOCAB!$A$2:$L$1500,8,FALSE),"")</f>
      </c>
      <c r="E105" s="4"/>
      <c r="F105" s="4"/>
      <c r="G105" s="4"/>
      <c r="H105">
        <f>IF($G105="","",$G105+IF($E105=0,1,IF($E105=1,1,IF($E105=2,2,IF($E105=3,4,IF($E105=4,7,14))))))</f>
      </c>
      <c r="I105">
        <f>IF($G105="","Mới",IF($H105&lt;=TODAY(),"ĐẾN HẠN","Lịch"))</f>
      </c>
      <c r="J105">
        <f>IF($I105="ĐẾN HẠN",COUNTIF($I$2:$I105,"ĐẾN HẠN"),"")</f>
      </c>
      <c r="K105" s="4"/>
    </row>
    <row r="106">
      <c r="A106" t="inlineStr">
        <is>
          <t xml:space="preserve">a0_place_102</t>
        </is>
      </c>
      <c r="B106">
        <f>IFERROR(VLOOKUP($A106,VOCAB!$A$2:$L$1500,5,FALSE),"")</f>
      </c>
      <c r="C106">
        <f>IFERROR(VLOOKUP($A106,VOCAB!$A$2:$L$1500,6,FALSE),"")</f>
      </c>
      <c r="D106">
        <f>IFERROR(VLOOKUP($A106,VOCAB!$A$2:$L$1500,8,FALSE),"")</f>
      </c>
      <c r="E106" s="4"/>
      <c r="F106" s="4"/>
      <c r="G106" s="4"/>
      <c r="H106">
        <f>IF($G106="","",$G106+IF($E106=0,1,IF($E106=1,1,IF($E106=2,2,IF($E106=3,4,IF($E106=4,7,14))))))</f>
      </c>
      <c r="I106">
        <f>IF($G106="","Mới",IF($H106&lt;=TODAY(),"ĐẾN HẠN","Lịch"))</f>
      </c>
      <c r="J106">
        <f>IF($I106="ĐẾN HẠN",COUNTIF($I$2:$I106,"ĐẾN HẠN"),"")</f>
      </c>
      <c r="K106" s="4"/>
    </row>
    <row r="107">
      <c r="A107" t="inlineStr">
        <is>
          <t xml:space="preserve">a0_place_103</t>
        </is>
      </c>
      <c r="B107">
        <f>IFERROR(VLOOKUP($A107,VOCAB!$A$2:$L$1500,5,FALSE),"")</f>
      </c>
      <c r="C107">
        <f>IFERROR(VLOOKUP($A107,VOCAB!$A$2:$L$1500,6,FALSE),"")</f>
      </c>
      <c r="D107">
        <f>IFERROR(VLOOKUP($A107,VOCAB!$A$2:$L$1500,8,FALSE),"")</f>
      </c>
      <c r="E107" s="4"/>
      <c r="F107" s="4"/>
      <c r="G107" s="4"/>
      <c r="H107">
        <f>IF($G107="","",$G107+IF($E107=0,1,IF($E107=1,1,IF($E107=2,2,IF($E107=3,4,IF($E107=4,7,14))))))</f>
      </c>
      <c r="I107">
        <f>IF($G107="","Mới",IF($H107&lt;=TODAY(),"ĐẾN HẠN","Lịch"))</f>
      </c>
      <c r="J107">
        <f>IF($I107="ĐẾN HẠN",COUNTIF($I$2:$I107,"ĐẾN HẠN"),"")</f>
      </c>
      <c r="K107" s="4"/>
    </row>
    <row r="108">
      <c r="A108" t="inlineStr">
        <is>
          <t xml:space="preserve">a0_place_104</t>
        </is>
      </c>
      <c r="B108">
        <f>IFERROR(VLOOKUP($A108,VOCAB!$A$2:$L$1500,5,FALSE),"")</f>
      </c>
      <c r="C108">
        <f>IFERROR(VLOOKUP($A108,VOCAB!$A$2:$L$1500,6,FALSE),"")</f>
      </c>
      <c r="D108">
        <f>IFERROR(VLOOKUP($A108,VOCAB!$A$2:$L$1500,8,FALSE),"")</f>
      </c>
      <c r="E108" s="4"/>
      <c r="F108" s="4"/>
      <c r="G108" s="4"/>
      <c r="H108">
        <f>IF($G108="","",$G108+IF($E108=0,1,IF($E108=1,1,IF($E108=2,2,IF($E108=3,4,IF($E108=4,7,14))))))</f>
      </c>
      <c r="I108">
        <f>IF($G108="","Mới",IF($H108&lt;=TODAY(),"ĐẾN HẠN","Lịch"))</f>
      </c>
      <c r="J108">
        <f>IF($I108="ĐẾN HẠN",COUNTIF($I$2:$I108,"ĐẾN HẠN"),"")</f>
      </c>
      <c r="K108" s="4"/>
    </row>
    <row r="109">
      <c r="A109" t="inlineStr">
        <is>
          <t xml:space="preserve">a0_place_105</t>
        </is>
      </c>
      <c r="B109">
        <f>IFERROR(VLOOKUP($A109,VOCAB!$A$2:$L$1500,5,FALSE),"")</f>
      </c>
      <c r="C109">
        <f>IFERROR(VLOOKUP($A109,VOCAB!$A$2:$L$1500,6,FALSE),"")</f>
      </c>
      <c r="D109">
        <f>IFERROR(VLOOKUP($A109,VOCAB!$A$2:$L$1500,8,FALSE),"")</f>
      </c>
      <c r="E109" s="4"/>
      <c r="F109" s="4"/>
      <c r="G109" s="4"/>
      <c r="H109">
        <f>IF($G109="","",$G109+IF($E109=0,1,IF($E109=1,1,IF($E109=2,2,IF($E109=3,4,IF($E109=4,7,14))))))</f>
      </c>
      <c r="I109">
        <f>IF($G109="","Mới",IF($H109&lt;=TODAY(),"ĐẾN HẠN","Lịch"))</f>
      </c>
      <c r="J109">
        <f>IF($I109="ĐẾN HẠN",COUNTIF($I$2:$I109,"ĐẾN HẠN"),"")</f>
      </c>
      <c r="K109" s="4"/>
    </row>
    <row r="110">
      <c r="A110" t="inlineStr">
        <is>
          <t xml:space="preserve">a0_place_106</t>
        </is>
      </c>
      <c r="B110">
        <f>IFERROR(VLOOKUP($A110,VOCAB!$A$2:$L$1500,5,FALSE),"")</f>
      </c>
      <c r="C110">
        <f>IFERROR(VLOOKUP($A110,VOCAB!$A$2:$L$1500,6,FALSE),"")</f>
      </c>
      <c r="D110">
        <f>IFERROR(VLOOKUP($A110,VOCAB!$A$2:$L$1500,8,FALSE),"")</f>
      </c>
      <c r="E110" s="4"/>
      <c r="F110" s="4"/>
      <c r="G110" s="4"/>
      <c r="H110">
        <f>IF($G110="","",$G110+IF($E110=0,1,IF($E110=1,1,IF($E110=2,2,IF($E110=3,4,IF($E110=4,7,14))))))</f>
      </c>
      <c r="I110">
        <f>IF($G110="","Mới",IF($H110&lt;=TODAY(),"ĐẾN HẠN","Lịch"))</f>
      </c>
      <c r="J110">
        <f>IF($I110="ĐẾN HẠN",COUNTIF($I$2:$I110,"ĐẾN HẠN"),"")</f>
      </c>
      <c r="K110" s="4"/>
    </row>
    <row r="111">
      <c r="A111" t="inlineStr">
        <is>
          <t xml:space="preserve">a0_place_107</t>
        </is>
      </c>
      <c r="B111">
        <f>IFERROR(VLOOKUP($A111,VOCAB!$A$2:$L$1500,5,FALSE),"")</f>
      </c>
      <c r="C111">
        <f>IFERROR(VLOOKUP($A111,VOCAB!$A$2:$L$1500,6,FALSE),"")</f>
      </c>
      <c r="D111">
        <f>IFERROR(VLOOKUP($A111,VOCAB!$A$2:$L$1500,8,FALSE),"")</f>
      </c>
      <c r="E111" s="4"/>
      <c r="F111" s="4"/>
      <c r="G111" s="4"/>
      <c r="H111">
        <f>IF($G111="","",$G111+IF($E111=0,1,IF($E111=1,1,IF($E111=2,2,IF($E111=3,4,IF($E111=4,7,14))))))</f>
      </c>
      <c r="I111">
        <f>IF($G111="","Mới",IF($H111&lt;=TODAY(),"ĐẾN HẠN","Lịch"))</f>
      </c>
      <c r="J111">
        <f>IF($I111="ĐẾN HẠN",COUNTIF($I$2:$I111,"ĐẾN HẠN"),"")</f>
      </c>
      <c r="K111" s="4"/>
    </row>
    <row r="112">
      <c r="A112" t="inlineStr">
        <is>
          <t xml:space="preserve">a0_place_108</t>
        </is>
      </c>
      <c r="B112">
        <f>IFERROR(VLOOKUP($A112,VOCAB!$A$2:$L$1500,5,FALSE),"")</f>
      </c>
      <c r="C112">
        <f>IFERROR(VLOOKUP($A112,VOCAB!$A$2:$L$1500,6,FALSE),"")</f>
      </c>
      <c r="D112">
        <f>IFERROR(VLOOKUP($A112,VOCAB!$A$2:$L$1500,8,FALSE),"")</f>
      </c>
      <c r="E112" s="4"/>
      <c r="F112" s="4"/>
      <c r="G112" s="4"/>
      <c r="H112">
        <f>IF($G112="","",$G112+IF($E112=0,1,IF($E112=1,1,IF($E112=2,2,IF($E112=3,4,IF($E112=4,7,14))))))</f>
      </c>
      <c r="I112">
        <f>IF($G112="","Mới",IF($H112&lt;=TODAY(),"ĐẾN HẠN","Lịch"))</f>
      </c>
      <c r="J112">
        <f>IF($I112="ĐẾN HẠN",COUNTIF($I$2:$I112,"ĐẾN HẠN"),"")</f>
      </c>
      <c r="K112" s="4"/>
    </row>
    <row r="113">
      <c r="A113" t="inlineStr">
        <is>
          <t xml:space="preserve">a0_place_109</t>
        </is>
      </c>
      <c r="B113">
        <f>IFERROR(VLOOKUP($A113,VOCAB!$A$2:$L$1500,5,FALSE),"")</f>
      </c>
      <c r="C113">
        <f>IFERROR(VLOOKUP($A113,VOCAB!$A$2:$L$1500,6,FALSE),"")</f>
      </c>
      <c r="D113">
        <f>IFERROR(VLOOKUP($A113,VOCAB!$A$2:$L$1500,8,FALSE),"")</f>
      </c>
      <c r="E113" s="4"/>
      <c r="F113" s="4"/>
      <c r="G113" s="4"/>
      <c r="H113">
        <f>IF($G113="","",$G113+IF($E113=0,1,IF($E113=1,1,IF($E113=2,2,IF($E113=3,4,IF($E113=4,7,14))))))</f>
      </c>
      <c r="I113">
        <f>IF($G113="","Mới",IF($H113&lt;=TODAY(),"ĐẾN HẠN","Lịch"))</f>
      </c>
      <c r="J113">
        <f>IF($I113="ĐẾN HẠN",COUNTIF($I$2:$I113,"ĐẾN HẠN"),"")</f>
      </c>
      <c r="K113" s="4"/>
    </row>
    <row r="114">
      <c r="A114" t="inlineStr">
        <is>
          <t xml:space="preserve">a0_fam_110</t>
        </is>
      </c>
      <c r="B114">
        <f>IFERROR(VLOOKUP($A114,VOCAB!$A$2:$L$1500,5,FALSE),"")</f>
      </c>
      <c r="C114">
        <f>IFERROR(VLOOKUP($A114,VOCAB!$A$2:$L$1500,6,FALSE),"")</f>
      </c>
      <c r="D114">
        <f>IFERROR(VLOOKUP($A114,VOCAB!$A$2:$L$1500,8,FALSE),"")</f>
      </c>
      <c r="E114" s="4"/>
      <c r="F114" s="4"/>
      <c r="G114" s="4"/>
      <c r="H114">
        <f>IF($G114="","",$G114+IF($E114=0,1,IF($E114=1,1,IF($E114=2,2,IF($E114=3,4,IF($E114=4,7,14))))))</f>
      </c>
      <c r="I114">
        <f>IF($G114="","Mới",IF($H114&lt;=TODAY(),"ĐẾN HẠN","Lịch"))</f>
      </c>
      <c r="J114">
        <f>IF($I114="ĐẾN HẠN",COUNTIF($I$2:$I114,"ĐẾN HẠN"),"")</f>
      </c>
      <c r="K114" s="4"/>
    </row>
    <row r="115">
      <c r="A115" t="inlineStr">
        <is>
          <t xml:space="preserve">a0_fam_111</t>
        </is>
      </c>
      <c r="B115">
        <f>IFERROR(VLOOKUP($A115,VOCAB!$A$2:$L$1500,5,FALSE),"")</f>
      </c>
      <c r="C115">
        <f>IFERROR(VLOOKUP($A115,VOCAB!$A$2:$L$1500,6,FALSE),"")</f>
      </c>
      <c r="D115">
        <f>IFERROR(VLOOKUP($A115,VOCAB!$A$2:$L$1500,8,FALSE),"")</f>
      </c>
      <c r="E115" s="4"/>
      <c r="F115" s="4"/>
      <c r="G115" s="4"/>
      <c r="H115">
        <f>IF($G115="","",$G115+IF($E115=0,1,IF($E115=1,1,IF($E115=2,2,IF($E115=3,4,IF($E115=4,7,14))))))</f>
      </c>
      <c r="I115">
        <f>IF($G115="","Mới",IF($H115&lt;=TODAY(),"ĐẾN HẠN","Lịch"))</f>
      </c>
      <c r="J115">
        <f>IF($I115="ĐẾN HẠN",COUNTIF($I$2:$I115,"ĐẾN HẠN"),"")</f>
      </c>
      <c r="K115" s="4"/>
    </row>
    <row r="116">
      <c r="A116" t="inlineStr">
        <is>
          <t xml:space="preserve">a0_fam_112</t>
        </is>
      </c>
      <c r="B116">
        <f>IFERROR(VLOOKUP($A116,VOCAB!$A$2:$L$1500,5,FALSE),"")</f>
      </c>
      <c r="C116">
        <f>IFERROR(VLOOKUP($A116,VOCAB!$A$2:$L$1500,6,FALSE),"")</f>
      </c>
      <c r="D116">
        <f>IFERROR(VLOOKUP($A116,VOCAB!$A$2:$L$1500,8,FALSE),"")</f>
      </c>
      <c r="E116" s="4"/>
      <c r="F116" s="4"/>
      <c r="G116" s="4"/>
      <c r="H116">
        <f>IF($G116="","",$G116+IF($E116=0,1,IF($E116=1,1,IF($E116=2,2,IF($E116=3,4,IF($E116=4,7,14))))))</f>
      </c>
      <c r="I116">
        <f>IF($G116="","Mới",IF($H116&lt;=TODAY(),"ĐẾN HẠN","Lịch"))</f>
      </c>
      <c r="J116">
        <f>IF($I116="ĐẾN HẠN",COUNTIF($I$2:$I116,"ĐẾN HẠN"),"")</f>
      </c>
      <c r="K116" s="4"/>
    </row>
    <row r="117">
      <c r="A117" t="inlineStr">
        <is>
          <t xml:space="preserve">a0_fam_113</t>
        </is>
      </c>
      <c r="B117">
        <f>IFERROR(VLOOKUP($A117,VOCAB!$A$2:$L$1500,5,FALSE),"")</f>
      </c>
      <c r="C117">
        <f>IFERROR(VLOOKUP($A117,VOCAB!$A$2:$L$1500,6,FALSE),"")</f>
      </c>
      <c r="D117">
        <f>IFERROR(VLOOKUP($A117,VOCAB!$A$2:$L$1500,8,FALSE),"")</f>
      </c>
      <c r="E117" s="4"/>
      <c r="F117" s="4"/>
      <c r="G117" s="4"/>
      <c r="H117">
        <f>IF($G117="","",$G117+IF($E117=0,1,IF($E117=1,1,IF($E117=2,2,IF($E117=3,4,IF($E117=4,7,14))))))</f>
      </c>
      <c r="I117">
        <f>IF($G117="","Mới",IF($H117&lt;=TODAY(),"ĐẾN HẠN","Lịch"))</f>
      </c>
      <c r="J117">
        <f>IF($I117="ĐẾN HẠN",COUNTIF($I$2:$I117,"ĐẾN HẠN"),"")</f>
      </c>
      <c r="K117" s="4"/>
    </row>
    <row r="118">
      <c r="A118" t="inlineStr">
        <is>
          <t xml:space="preserve">a0_fam_114</t>
        </is>
      </c>
      <c r="B118">
        <f>IFERROR(VLOOKUP($A118,VOCAB!$A$2:$L$1500,5,FALSE),"")</f>
      </c>
      <c r="C118">
        <f>IFERROR(VLOOKUP($A118,VOCAB!$A$2:$L$1500,6,FALSE),"")</f>
      </c>
      <c r="D118">
        <f>IFERROR(VLOOKUP($A118,VOCAB!$A$2:$L$1500,8,FALSE),"")</f>
      </c>
      <c r="E118" s="4"/>
      <c r="F118" s="4"/>
      <c r="G118" s="4"/>
      <c r="H118">
        <f>IF($G118="","",$G118+IF($E118=0,1,IF($E118=1,1,IF($E118=2,2,IF($E118=3,4,IF($E118=4,7,14))))))</f>
      </c>
      <c r="I118">
        <f>IF($G118="","Mới",IF($H118&lt;=TODAY(),"ĐẾN HẠN","Lịch"))</f>
      </c>
      <c r="J118">
        <f>IF($I118="ĐẾN HẠN",COUNTIF($I$2:$I118,"ĐẾN HẠN"),"")</f>
      </c>
      <c r="K118" s="4"/>
    </row>
    <row r="119">
      <c r="A119" t="inlineStr">
        <is>
          <t xml:space="preserve">a0_fam_115</t>
        </is>
      </c>
      <c r="B119">
        <f>IFERROR(VLOOKUP($A119,VOCAB!$A$2:$L$1500,5,FALSE),"")</f>
      </c>
      <c r="C119">
        <f>IFERROR(VLOOKUP($A119,VOCAB!$A$2:$L$1500,6,FALSE),"")</f>
      </c>
      <c r="D119">
        <f>IFERROR(VLOOKUP($A119,VOCAB!$A$2:$L$1500,8,FALSE),"")</f>
      </c>
      <c r="E119" s="4"/>
      <c r="F119" s="4"/>
      <c r="G119" s="4"/>
      <c r="H119">
        <f>IF($G119="","",$G119+IF($E119=0,1,IF($E119=1,1,IF($E119=2,2,IF($E119=3,4,IF($E119=4,7,14))))))</f>
      </c>
      <c r="I119">
        <f>IF($G119="","Mới",IF($H119&lt;=TODAY(),"ĐẾN HẠN","Lịch"))</f>
      </c>
      <c r="J119">
        <f>IF($I119="ĐẾN HẠN",COUNTIF($I$2:$I119,"ĐẾN HẠN"),"")</f>
      </c>
      <c r="K119" s="4"/>
    </row>
    <row r="120">
      <c r="A120" t="inlineStr">
        <is>
          <t xml:space="preserve">a0_fam_116</t>
        </is>
      </c>
      <c r="B120">
        <f>IFERROR(VLOOKUP($A120,VOCAB!$A$2:$L$1500,5,FALSE),"")</f>
      </c>
      <c r="C120">
        <f>IFERROR(VLOOKUP($A120,VOCAB!$A$2:$L$1500,6,FALSE),"")</f>
      </c>
      <c r="D120">
        <f>IFERROR(VLOOKUP($A120,VOCAB!$A$2:$L$1500,8,FALSE),"")</f>
      </c>
      <c r="E120" s="4"/>
      <c r="F120" s="4"/>
      <c r="G120" s="4"/>
      <c r="H120">
        <f>IF($G120="","",$G120+IF($E120=0,1,IF($E120=1,1,IF($E120=2,2,IF($E120=3,4,IF($E120=4,7,14))))))</f>
      </c>
      <c r="I120">
        <f>IF($G120="","Mới",IF($H120&lt;=TODAY(),"ĐẾN HẠN","Lịch"))</f>
      </c>
      <c r="J120">
        <f>IF($I120="ĐẾN HẠN",COUNTIF($I$2:$I120,"ĐẾN HẠN"),"")</f>
      </c>
      <c r="K120" s="4"/>
    </row>
    <row r="121">
      <c r="A121" t="inlineStr">
        <is>
          <t xml:space="preserve">a0_fam_117</t>
        </is>
      </c>
      <c r="B121">
        <f>IFERROR(VLOOKUP($A121,VOCAB!$A$2:$L$1500,5,FALSE),"")</f>
      </c>
      <c r="C121">
        <f>IFERROR(VLOOKUP($A121,VOCAB!$A$2:$L$1500,6,FALSE),"")</f>
      </c>
      <c r="D121">
        <f>IFERROR(VLOOKUP($A121,VOCAB!$A$2:$L$1500,8,FALSE),"")</f>
      </c>
      <c r="E121" s="4"/>
      <c r="F121" s="4"/>
      <c r="G121" s="4"/>
      <c r="H121">
        <f>IF($G121="","",$G121+IF($E121=0,1,IF($E121=1,1,IF($E121=2,2,IF($E121=3,4,IF($E121=4,7,14))))))</f>
      </c>
      <c r="I121">
        <f>IF($G121="","Mới",IF($H121&lt;=TODAY(),"ĐẾN HẠN","Lịch"))</f>
      </c>
      <c r="J121">
        <f>IF($I121="ĐẾN HẠN",COUNTIF($I$2:$I121,"ĐẾN HẠN"),"")</f>
      </c>
      <c r="K121" s="4"/>
    </row>
    <row r="122">
      <c r="A122" t="inlineStr">
        <is>
          <t xml:space="preserve">a0_fam_118</t>
        </is>
      </c>
      <c r="B122">
        <f>IFERROR(VLOOKUP($A122,VOCAB!$A$2:$L$1500,5,FALSE),"")</f>
      </c>
      <c r="C122">
        <f>IFERROR(VLOOKUP($A122,VOCAB!$A$2:$L$1500,6,FALSE),"")</f>
      </c>
      <c r="D122">
        <f>IFERROR(VLOOKUP($A122,VOCAB!$A$2:$L$1500,8,FALSE),"")</f>
      </c>
      <c r="E122" s="4"/>
      <c r="F122" s="4"/>
      <c r="G122" s="4"/>
      <c r="H122">
        <f>IF($G122="","",$G122+IF($E122=0,1,IF($E122=1,1,IF($E122=2,2,IF($E122=3,4,IF($E122=4,7,14))))))</f>
      </c>
      <c r="I122">
        <f>IF($G122="","Mới",IF($H122&lt;=TODAY(),"ĐẾN HẠN","Lịch"))</f>
      </c>
      <c r="J122">
        <f>IF($I122="ĐẾN HẠN",COUNTIF($I$2:$I122,"ĐẾN HẠN"),"")</f>
      </c>
      <c r="K122" s="4"/>
    </row>
    <row r="123">
      <c r="A123" t="inlineStr">
        <is>
          <t xml:space="preserve">a0_fam_119</t>
        </is>
      </c>
      <c r="B123">
        <f>IFERROR(VLOOKUP($A123,VOCAB!$A$2:$L$1500,5,FALSE),"")</f>
      </c>
      <c r="C123">
        <f>IFERROR(VLOOKUP($A123,VOCAB!$A$2:$L$1500,6,FALSE),"")</f>
      </c>
      <c r="D123">
        <f>IFERROR(VLOOKUP($A123,VOCAB!$A$2:$L$1500,8,FALSE),"")</f>
      </c>
      <c r="E123" s="4"/>
      <c r="F123" s="4"/>
      <c r="G123" s="4"/>
      <c r="H123">
        <f>IF($G123="","",$G123+IF($E123=0,1,IF($E123=1,1,IF($E123=2,2,IF($E123=3,4,IF($E123=4,7,14))))))</f>
      </c>
      <c r="I123">
        <f>IF($G123="","Mới",IF($H123&lt;=TODAY(),"ĐẾN HẠN","Lịch"))</f>
      </c>
      <c r="J123">
        <f>IF($I123="ĐẾN HẠN",COUNTIF($I$2:$I123,"ĐẾN HẠN"),"")</f>
      </c>
      <c r="K123" s="4"/>
    </row>
    <row r="124">
      <c r="A124" t="inlineStr">
        <is>
          <t xml:space="preserve">a0_fam_120</t>
        </is>
      </c>
      <c r="B124">
        <f>IFERROR(VLOOKUP($A124,VOCAB!$A$2:$L$1500,5,FALSE),"")</f>
      </c>
      <c r="C124">
        <f>IFERROR(VLOOKUP($A124,VOCAB!$A$2:$L$1500,6,FALSE),"")</f>
      </c>
      <c r="D124">
        <f>IFERROR(VLOOKUP($A124,VOCAB!$A$2:$L$1500,8,FALSE),"")</f>
      </c>
      <c r="E124" s="4"/>
      <c r="F124" s="4"/>
      <c r="G124" s="4"/>
      <c r="H124">
        <f>IF($G124="","",$G124+IF($E124=0,1,IF($E124=1,1,IF($E124=2,2,IF($E124=3,4,IF($E124=4,7,14))))))</f>
      </c>
      <c r="I124">
        <f>IF($G124="","Mới",IF($H124&lt;=TODAY(),"ĐẾN HẠN","Lịch"))</f>
      </c>
      <c r="J124">
        <f>IF($I124="ĐẾN HẠN",COUNTIF($I$2:$I124,"ĐẾN HẠN"),"")</f>
      </c>
      <c r="K124" s="4"/>
    </row>
    <row r="125">
      <c r="A125" t="inlineStr">
        <is>
          <t xml:space="preserve">a0_fam_121</t>
        </is>
      </c>
      <c r="B125">
        <f>IFERROR(VLOOKUP($A125,VOCAB!$A$2:$L$1500,5,FALSE),"")</f>
      </c>
      <c r="C125">
        <f>IFERROR(VLOOKUP($A125,VOCAB!$A$2:$L$1500,6,FALSE),"")</f>
      </c>
      <c r="D125">
        <f>IFERROR(VLOOKUP($A125,VOCAB!$A$2:$L$1500,8,FALSE),"")</f>
      </c>
      <c r="E125" s="4"/>
      <c r="F125" s="4"/>
      <c r="G125" s="4"/>
      <c r="H125">
        <f>IF($G125="","",$G125+IF($E125=0,1,IF($E125=1,1,IF($E125=2,2,IF($E125=3,4,IF($E125=4,7,14))))))</f>
      </c>
      <c r="I125">
        <f>IF($G125="","Mới",IF($H125&lt;=TODAY(),"ĐẾN HẠN","Lịch"))</f>
      </c>
      <c r="J125">
        <f>IF($I125="ĐẾN HẠN",COUNTIF($I$2:$I125,"ĐẾN HẠN"),"")</f>
      </c>
      <c r="K125" s="4"/>
    </row>
    <row r="126">
      <c r="A126" t="inlineStr">
        <is>
          <t xml:space="preserve">a0_fam_122</t>
        </is>
      </c>
      <c r="B126">
        <f>IFERROR(VLOOKUP($A126,VOCAB!$A$2:$L$1500,5,FALSE),"")</f>
      </c>
      <c r="C126">
        <f>IFERROR(VLOOKUP($A126,VOCAB!$A$2:$L$1500,6,FALSE),"")</f>
      </c>
      <c r="D126">
        <f>IFERROR(VLOOKUP($A126,VOCAB!$A$2:$L$1500,8,FALSE),"")</f>
      </c>
      <c r="E126" s="4"/>
      <c r="F126" s="4"/>
      <c r="G126" s="4"/>
      <c r="H126">
        <f>IF($G126="","",$G126+IF($E126=0,1,IF($E126=1,1,IF($E126=2,2,IF($E126=3,4,IF($E126=4,7,14))))))</f>
      </c>
      <c r="I126">
        <f>IF($G126="","Mới",IF($H126&lt;=TODAY(),"ĐẾN HẠN","Lịch"))</f>
      </c>
      <c r="J126">
        <f>IF($I126="ĐẾN HẠN",COUNTIF($I$2:$I126,"ĐẾN HẠN"),"")</f>
      </c>
      <c r="K126" s="4"/>
    </row>
    <row r="127">
      <c r="A127" t="inlineStr">
        <is>
          <t xml:space="preserve">a0_fam_123</t>
        </is>
      </c>
      <c r="B127">
        <f>IFERROR(VLOOKUP($A127,VOCAB!$A$2:$L$1500,5,FALSE),"")</f>
      </c>
      <c r="C127">
        <f>IFERROR(VLOOKUP($A127,VOCAB!$A$2:$L$1500,6,FALSE),"")</f>
      </c>
      <c r="D127">
        <f>IFERROR(VLOOKUP($A127,VOCAB!$A$2:$L$1500,8,FALSE),"")</f>
      </c>
      <c r="E127" s="4"/>
      <c r="F127" s="4"/>
      <c r="G127" s="4"/>
      <c r="H127">
        <f>IF($G127="","",$G127+IF($E127=0,1,IF($E127=1,1,IF($E127=2,2,IF($E127=3,4,IF($E127=4,7,14))))))</f>
      </c>
      <c r="I127">
        <f>IF($G127="","Mới",IF($H127&lt;=TODAY(),"ĐẾN HẠN","Lịch"))</f>
      </c>
      <c r="J127">
        <f>IF($I127="ĐẾN HẠN",COUNTIF($I$2:$I127,"ĐẾN HẠN"),"")</f>
      </c>
      <c r="K127" s="4"/>
    </row>
    <row r="128">
      <c r="A128" t="inlineStr">
        <is>
          <t xml:space="preserve">a0_fam_124</t>
        </is>
      </c>
      <c r="B128">
        <f>IFERROR(VLOOKUP($A128,VOCAB!$A$2:$L$1500,5,FALSE),"")</f>
      </c>
      <c r="C128">
        <f>IFERROR(VLOOKUP($A128,VOCAB!$A$2:$L$1500,6,FALSE),"")</f>
      </c>
      <c r="D128">
        <f>IFERROR(VLOOKUP($A128,VOCAB!$A$2:$L$1500,8,FALSE),"")</f>
      </c>
      <c r="E128" s="4"/>
      <c r="F128" s="4"/>
      <c r="G128" s="4"/>
      <c r="H128">
        <f>IF($G128="","",$G128+IF($E128=0,1,IF($E128=1,1,IF($E128=2,2,IF($E128=3,4,IF($E128=4,7,14))))))</f>
      </c>
      <c r="I128">
        <f>IF($G128="","Mới",IF($H128&lt;=TODAY(),"ĐẾN HẠN","Lịch"))</f>
      </c>
      <c r="J128">
        <f>IF($I128="ĐẾN HẠN",COUNTIF($I$2:$I128,"ĐẾN HẠN"),"")</f>
      </c>
      <c r="K128" s="4"/>
    </row>
    <row r="129">
      <c r="A129" t="inlineStr">
        <is>
          <t xml:space="preserve">a0_fam_125</t>
        </is>
      </c>
      <c r="B129">
        <f>IFERROR(VLOOKUP($A129,VOCAB!$A$2:$L$1500,5,FALSE),"")</f>
      </c>
      <c r="C129">
        <f>IFERROR(VLOOKUP($A129,VOCAB!$A$2:$L$1500,6,FALSE),"")</f>
      </c>
      <c r="D129">
        <f>IFERROR(VLOOKUP($A129,VOCAB!$A$2:$L$1500,8,FALSE),"")</f>
      </c>
      <c r="E129" s="4"/>
      <c r="F129" s="4"/>
      <c r="G129" s="4"/>
      <c r="H129">
        <f>IF($G129="","",$G129+IF($E129=0,1,IF($E129=1,1,IF($E129=2,2,IF($E129=3,4,IF($E129=4,7,14))))))</f>
      </c>
      <c r="I129">
        <f>IF($G129="","Mới",IF($H129&lt;=TODAY(),"ĐẾN HẠN","Lịch"))</f>
      </c>
      <c r="J129">
        <f>IF($I129="ĐẾN HẠN",COUNTIF($I$2:$I129,"ĐẾN HẠN"),"")</f>
      </c>
      <c r="K129" s="4"/>
    </row>
    <row r="130">
      <c r="A130" t="inlineStr">
        <is>
          <t xml:space="preserve">a0_fam_126</t>
        </is>
      </c>
      <c r="B130">
        <f>IFERROR(VLOOKUP($A130,VOCAB!$A$2:$L$1500,5,FALSE),"")</f>
      </c>
      <c r="C130">
        <f>IFERROR(VLOOKUP($A130,VOCAB!$A$2:$L$1500,6,FALSE),"")</f>
      </c>
      <c r="D130">
        <f>IFERROR(VLOOKUP($A130,VOCAB!$A$2:$L$1500,8,FALSE),"")</f>
      </c>
      <c r="E130" s="4"/>
      <c r="F130" s="4"/>
      <c r="G130" s="4"/>
      <c r="H130">
        <f>IF($G130="","",$G130+IF($E130=0,1,IF($E130=1,1,IF($E130=2,2,IF($E130=3,4,IF($E130=4,7,14))))))</f>
      </c>
      <c r="I130">
        <f>IF($G130="","Mới",IF($H130&lt;=TODAY(),"ĐẾN HẠN","Lịch"))</f>
      </c>
      <c r="J130">
        <f>IF($I130="ĐẾN HẠN",COUNTIF($I$2:$I130,"ĐẾN HẠN"),"")</f>
      </c>
      <c r="K130" s="4"/>
    </row>
    <row r="131">
      <c r="A131" t="inlineStr">
        <is>
          <t xml:space="preserve">a0_fam_127</t>
        </is>
      </c>
      <c r="B131">
        <f>IFERROR(VLOOKUP($A131,VOCAB!$A$2:$L$1500,5,FALSE),"")</f>
      </c>
      <c r="C131">
        <f>IFERROR(VLOOKUP($A131,VOCAB!$A$2:$L$1500,6,FALSE),"")</f>
      </c>
      <c r="D131">
        <f>IFERROR(VLOOKUP($A131,VOCAB!$A$2:$L$1500,8,FALSE),"")</f>
      </c>
      <c r="E131" s="4"/>
      <c r="F131" s="4"/>
      <c r="G131" s="4"/>
      <c r="H131">
        <f>IF($G131="","",$G131+IF($E131=0,1,IF($E131=1,1,IF($E131=2,2,IF($E131=3,4,IF($E131=4,7,14))))))</f>
      </c>
      <c r="I131">
        <f>IF($G131="","Mới",IF($H131&lt;=TODAY(),"ĐẾN HẠN","Lịch"))</f>
      </c>
      <c r="J131">
        <f>IF($I131="ĐẾN HẠN",COUNTIF($I$2:$I131,"ĐẾN HẠN"),"")</f>
      </c>
      <c r="K131" s="4"/>
    </row>
    <row r="132">
      <c r="A132" t="inlineStr">
        <is>
          <t xml:space="preserve">a0_fam_128</t>
        </is>
      </c>
      <c r="B132">
        <f>IFERROR(VLOOKUP($A132,VOCAB!$A$2:$L$1500,5,FALSE),"")</f>
      </c>
      <c r="C132">
        <f>IFERROR(VLOOKUP($A132,VOCAB!$A$2:$L$1500,6,FALSE),"")</f>
      </c>
      <c r="D132">
        <f>IFERROR(VLOOKUP($A132,VOCAB!$A$2:$L$1500,8,FALSE),"")</f>
      </c>
      <c r="E132" s="4"/>
      <c r="F132" s="4"/>
      <c r="G132" s="4"/>
      <c r="H132">
        <f>IF($G132="","",$G132+IF($E132=0,1,IF($E132=1,1,IF($E132=2,2,IF($E132=3,4,IF($E132=4,7,14))))))</f>
      </c>
      <c r="I132">
        <f>IF($G132="","Mới",IF($H132&lt;=TODAY(),"ĐẾN HẠN","Lịch"))</f>
      </c>
      <c r="J132">
        <f>IF($I132="ĐẾN HẠN",COUNTIF($I$2:$I132,"ĐẾN HẠN"),"")</f>
      </c>
      <c r="K132" s="4"/>
    </row>
    <row r="133">
      <c r="A133" t="inlineStr">
        <is>
          <t xml:space="preserve">a0_fam_129</t>
        </is>
      </c>
      <c r="B133">
        <f>IFERROR(VLOOKUP($A133,VOCAB!$A$2:$L$1500,5,FALSE),"")</f>
      </c>
      <c r="C133">
        <f>IFERROR(VLOOKUP($A133,VOCAB!$A$2:$L$1500,6,FALSE),"")</f>
      </c>
      <c r="D133">
        <f>IFERROR(VLOOKUP($A133,VOCAB!$A$2:$L$1500,8,FALSE),"")</f>
      </c>
      <c r="E133" s="4"/>
      <c r="F133" s="4"/>
      <c r="G133" s="4"/>
      <c r="H133">
        <f>IF($G133="","",$G133+IF($E133=0,1,IF($E133=1,1,IF($E133=2,2,IF($E133=3,4,IF($E133=4,7,14))))))</f>
      </c>
      <c r="I133">
        <f>IF($G133="","Mới",IF($H133&lt;=TODAY(),"ĐẾN HẠN","Lịch"))</f>
      </c>
      <c r="J133">
        <f>IF($I133="ĐẾN HẠN",COUNTIF($I$2:$I133,"ĐẾN HẠN"),"")</f>
      </c>
      <c r="K133" s="4"/>
    </row>
    <row r="134">
      <c r="A134" t="inlineStr">
        <is>
          <t xml:space="preserve">a0_fam_130</t>
        </is>
      </c>
      <c r="B134">
        <f>IFERROR(VLOOKUP($A134,VOCAB!$A$2:$L$1500,5,FALSE),"")</f>
      </c>
      <c r="C134">
        <f>IFERROR(VLOOKUP($A134,VOCAB!$A$2:$L$1500,6,FALSE),"")</f>
      </c>
      <c r="D134">
        <f>IFERROR(VLOOKUP($A134,VOCAB!$A$2:$L$1500,8,FALSE),"")</f>
      </c>
      <c r="E134" s="4"/>
      <c r="F134" s="4"/>
      <c r="G134" s="4"/>
      <c r="H134">
        <f>IF($G134="","",$G134+IF($E134=0,1,IF($E134=1,1,IF($E134=2,2,IF($E134=3,4,IF($E134=4,7,14))))))</f>
      </c>
      <c r="I134">
        <f>IF($G134="","Mới",IF($H134&lt;=TODAY(),"ĐẾN HẠN","Lịch"))</f>
      </c>
      <c r="J134">
        <f>IF($I134="ĐẾN HẠN",COUNTIF($I$2:$I134,"ĐẾN HẠN"),"")</f>
      </c>
      <c r="K134" s="4"/>
    </row>
    <row r="135">
      <c r="A135" t="inlineStr">
        <is>
          <t xml:space="preserve">cur_v003</t>
        </is>
      </c>
      <c r="B135">
        <f>IFERROR(VLOOKUP($A135,VOCAB!$A$2:$L$1500,5,FALSE),"")</f>
      </c>
      <c r="C135">
        <f>IFERROR(VLOOKUP($A135,VOCAB!$A$2:$L$1500,6,FALSE),"")</f>
      </c>
      <c r="D135">
        <f>IFERROR(VLOOKUP($A135,VOCAB!$A$2:$L$1500,8,FALSE),"")</f>
      </c>
      <c r="E135" s="4"/>
      <c r="F135" s="4"/>
      <c r="G135" s="4"/>
      <c r="H135">
        <f>IF($G135="","",$G135+IF($E135=0,1,IF($E135=1,1,IF($E135=2,2,IF($E135=3,4,IF($E135=4,7,14))))))</f>
      </c>
      <c r="I135">
        <f>IF($G135="","Mới",IF($H135&lt;=TODAY(),"ĐẾN HẠN","Lịch"))</f>
      </c>
      <c r="J135">
        <f>IF($I135="ĐẾN HẠN",COUNTIF($I$2:$I135,"ĐẾN HẠN"),"")</f>
      </c>
      <c r="K135" s="4"/>
    </row>
    <row r="136">
      <c r="A136" t="inlineStr">
        <is>
          <t xml:space="preserve">a0_food_131</t>
        </is>
      </c>
      <c r="B136">
        <f>IFERROR(VLOOKUP($A136,VOCAB!$A$2:$L$1500,5,FALSE),"")</f>
      </c>
      <c r="C136">
        <f>IFERROR(VLOOKUP($A136,VOCAB!$A$2:$L$1500,6,FALSE),"")</f>
      </c>
      <c r="D136">
        <f>IFERROR(VLOOKUP($A136,VOCAB!$A$2:$L$1500,8,FALSE),"")</f>
      </c>
      <c r="E136" s="4"/>
      <c r="F136" s="4"/>
      <c r="G136" s="4"/>
      <c r="H136">
        <f>IF($G136="","",$G136+IF($E136=0,1,IF($E136=1,1,IF($E136=2,2,IF($E136=3,4,IF($E136=4,7,14))))))</f>
      </c>
      <c r="I136">
        <f>IF($G136="","Mới",IF($H136&lt;=TODAY(),"ĐẾN HẠN","Lịch"))</f>
      </c>
      <c r="J136">
        <f>IF($I136="ĐẾN HẠN",COUNTIF($I$2:$I136,"ĐẾN HẠN"),"")</f>
      </c>
      <c r="K136" s="4"/>
    </row>
    <row r="137">
      <c r="A137" t="inlineStr">
        <is>
          <t xml:space="preserve">a0_food_132</t>
        </is>
      </c>
      <c r="B137">
        <f>IFERROR(VLOOKUP($A137,VOCAB!$A$2:$L$1500,5,FALSE),"")</f>
      </c>
      <c r="C137">
        <f>IFERROR(VLOOKUP($A137,VOCAB!$A$2:$L$1500,6,FALSE),"")</f>
      </c>
      <c r="D137">
        <f>IFERROR(VLOOKUP($A137,VOCAB!$A$2:$L$1500,8,FALSE),"")</f>
      </c>
      <c r="E137" s="4"/>
      <c r="F137" s="4"/>
      <c r="G137" s="4"/>
      <c r="H137">
        <f>IF($G137="","",$G137+IF($E137=0,1,IF($E137=1,1,IF($E137=2,2,IF($E137=3,4,IF($E137=4,7,14))))))</f>
      </c>
      <c r="I137">
        <f>IF($G137="","Mới",IF($H137&lt;=TODAY(),"ĐẾN HẠN","Lịch"))</f>
      </c>
      <c r="J137">
        <f>IF($I137="ĐẾN HẠN",COUNTIF($I$2:$I137,"ĐẾN HẠN"),"")</f>
      </c>
      <c r="K137" s="4"/>
    </row>
    <row r="138">
      <c r="A138" t="inlineStr">
        <is>
          <t xml:space="preserve">a0_food_133</t>
        </is>
      </c>
      <c r="B138">
        <f>IFERROR(VLOOKUP($A138,VOCAB!$A$2:$L$1500,5,FALSE),"")</f>
      </c>
      <c r="C138">
        <f>IFERROR(VLOOKUP($A138,VOCAB!$A$2:$L$1500,6,FALSE),"")</f>
      </c>
      <c r="D138">
        <f>IFERROR(VLOOKUP($A138,VOCAB!$A$2:$L$1500,8,FALSE),"")</f>
      </c>
      <c r="E138" s="4"/>
      <c r="F138" s="4"/>
      <c r="G138" s="4"/>
      <c r="H138">
        <f>IF($G138="","",$G138+IF($E138=0,1,IF($E138=1,1,IF($E138=2,2,IF($E138=3,4,IF($E138=4,7,14))))))</f>
      </c>
      <c r="I138">
        <f>IF($G138="","Mới",IF($H138&lt;=TODAY(),"ĐẾN HẠN","Lịch"))</f>
      </c>
      <c r="J138">
        <f>IF($I138="ĐẾN HẠN",COUNTIF($I$2:$I138,"ĐẾN HẠN"),"")</f>
      </c>
      <c r="K138" s="4"/>
    </row>
    <row r="139">
      <c r="A139" t="inlineStr">
        <is>
          <t xml:space="preserve">a0_food_134</t>
        </is>
      </c>
      <c r="B139">
        <f>IFERROR(VLOOKUP($A139,VOCAB!$A$2:$L$1500,5,FALSE),"")</f>
      </c>
      <c r="C139">
        <f>IFERROR(VLOOKUP($A139,VOCAB!$A$2:$L$1500,6,FALSE),"")</f>
      </c>
      <c r="D139">
        <f>IFERROR(VLOOKUP($A139,VOCAB!$A$2:$L$1500,8,FALSE),"")</f>
      </c>
      <c r="E139" s="4"/>
      <c r="F139" s="4"/>
      <c r="G139" s="4"/>
      <c r="H139">
        <f>IF($G139="","",$G139+IF($E139=0,1,IF($E139=1,1,IF($E139=2,2,IF($E139=3,4,IF($E139=4,7,14))))))</f>
      </c>
      <c r="I139">
        <f>IF($G139="","Mới",IF($H139&lt;=TODAY(),"ĐẾN HẠN","Lịch"))</f>
      </c>
      <c r="J139">
        <f>IF($I139="ĐẾN HẠN",COUNTIF($I$2:$I139,"ĐẾN HẠN"),"")</f>
      </c>
      <c r="K139" s="4"/>
    </row>
    <row r="140">
      <c r="A140" t="inlineStr">
        <is>
          <t xml:space="preserve">a0_food_135</t>
        </is>
      </c>
      <c r="B140">
        <f>IFERROR(VLOOKUP($A140,VOCAB!$A$2:$L$1500,5,FALSE),"")</f>
      </c>
      <c r="C140">
        <f>IFERROR(VLOOKUP($A140,VOCAB!$A$2:$L$1500,6,FALSE),"")</f>
      </c>
      <c r="D140">
        <f>IFERROR(VLOOKUP($A140,VOCAB!$A$2:$L$1500,8,FALSE),"")</f>
      </c>
      <c r="E140" s="4"/>
      <c r="F140" s="4"/>
      <c r="G140" s="4"/>
      <c r="H140">
        <f>IF($G140="","",$G140+IF($E140=0,1,IF($E140=1,1,IF($E140=2,2,IF($E140=3,4,IF($E140=4,7,14))))))</f>
      </c>
      <c r="I140">
        <f>IF($G140="","Mới",IF($H140&lt;=TODAY(),"ĐẾN HẠN","Lịch"))</f>
      </c>
      <c r="J140">
        <f>IF($I140="ĐẾN HẠN",COUNTIF($I$2:$I140,"ĐẾN HẠN"),"")</f>
      </c>
      <c r="K140" s="4"/>
    </row>
    <row r="141">
      <c r="A141" t="inlineStr">
        <is>
          <t xml:space="preserve">a0_food_136</t>
        </is>
      </c>
      <c r="B141">
        <f>IFERROR(VLOOKUP($A141,VOCAB!$A$2:$L$1500,5,FALSE),"")</f>
      </c>
      <c r="C141">
        <f>IFERROR(VLOOKUP($A141,VOCAB!$A$2:$L$1500,6,FALSE),"")</f>
      </c>
      <c r="D141">
        <f>IFERROR(VLOOKUP($A141,VOCAB!$A$2:$L$1500,8,FALSE),"")</f>
      </c>
      <c r="E141" s="4"/>
      <c r="F141" s="4"/>
      <c r="G141" s="4"/>
      <c r="H141">
        <f>IF($G141="","",$G141+IF($E141=0,1,IF($E141=1,1,IF($E141=2,2,IF($E141=3,4,IF($E141=4,7,14))))))</f>
      </c>
      <c r="I141">
        <f>IF($G141="","Mới",IF($H141&lt;=TODAY(),"ĐẾN HẠN","Lịch"))</f>
      </c>
      <c r="J141">
        <f>IF($I141="ĐẾN HẠN",COUNTIF($I$2:$I141,"ĐẾN HẠN"),"")</f>
      </c>
      <c r="K141" s="4"/>
    </row>
    <row r="142">
      <c r="A142" t="inlineStr">
        <is>
          <t xml:space="preserve">a0_food_137</t>
        </is>
      </c>
      <c r="B142">
        <f>IFERROR(VLOOKUP($A142,VOCAB!$A$2:$L$1500,5,FALSE),"")</f>
      </c>
      <c r="C142">
        <f>IFERROR(VLOOKUP($A142,VOCAB!$A$2:$L$1500,6,FALSE),"")</f>
      </c>
      <c r="D142">
        <f>IFERROR(VLOOKUP($A142,VOCAB!$A$2:$L$1500,8,FALSE),"")</f>
      </c>
      <c r="E142" s="4"/>
      <c r="F142" s="4"/>
      <c r="G142" s="4"/>
      <c r="H142">
        <f>IF($G142="","",$G142+IF($E142=0,1,IF($E142=1,1,IF($E142=2,2,IF($E142=3,4,IF($E142=4,7,14))))))</f>
      </c>
      <c r="I142">
        <f>IF($G142="","Mới",IF($H142&lt;=TODAY(),"ĐẾN HẠN","Lịch"))</f>
      </c>
      <c r="J142">
        <f>IF($I142="ĐẾN HẠN",COUNTIF($I$2:$I142,"ĐẾN HẠN"),"")</f>
      </c>
      <c r="K142" s="4"/>
    </row>
    <row r="143">
      <c r="A143" t="inlineStr">
        <is>
          <t xml:space="preserve">a0_food_138</t>
        </is>
      </c>
      <c r="B143">
        <f>IFERROR(VLOOKUP($A143,VOCAB!$A$2:$L$1500,5,FALSE),"")</f>
      </c>
      <c r="C143">
        <f>IFERROR(VLOOKUP($A143,VOCAB!$A$2:$L$1500,6,FALSE),"")</f>
      </c>
      <c r="D143">
        <f>IFERROR(VLOOKUP($A143,VOCAB!$A$2:$L$1500,8,FALSE),"")</f>
      </c>
      <c r="E143" s="4"/>
      <c r="F143" s="4"/>
      <c r="G143" s="4"/>
      <c r="H143">
        <f>IF($G143="","",$G143+IF($E143=0,1,IF($E143=1,1,IF($E143=2,2,IF($E143=3,4,IF($E143=4,7,14))))))</f>
      </c>
      <c r="I143">
        <f>IF($G143="","Mới",IF($H143&lt;=TODAY(),"ĐẾN HẠN","Lịch"))</f>
      </c>
      <c r="J143">
        <f>IF($I143="ĐẾN HẠN",COUNTIF($I$2:$I143,"ĐẾN HẠN"),"")</f>
      </c>
      <c r="K143" s="4"/>
    </row>
    <row r="144">
      <c r="A144" t="inlineStr">
        <is>
          <t xml:space="preserve">a0_food_139</t>
        </is>
      </c>
      <c r="B144">
        <f>IFERROR(VLOOKUP($A144,VOCAB!$A$2:$L$1500,5,FALSE),"")</f>
      </c>
      <c r="C144">
        <f>IFERROR(VLOOKUP($A144,VOCAB!$A$2:$L$1500,6,FALSE),"")</f>
      </c>
      <c r="D144">
        <f>IFERROR(VLOOKUP($A144,VOCAB!$A$2:$L$1500,8,FALSE),"")</f>
      </c>
      <c r="E144" s="4"/>
      <c r="F144" s="4"/>
      <c r="G144" s="4"/>
      <c r="H144">
        <f>IF($G144="","",$G144+IF($E144=0,1,IF($E144=1,1,IF($E144=2,2,IF($E144=3,4,IF($E144=4,7,14))))))</f>
      </c>
      <c r="I144">
        <f>IF($G144="","Mới",IF($H144&lt;=TODAY(),"ĐẾN HẠN","Lịch"))</f>
      </c>
      <c r="J144">
        <f>IF($I144="ĐẾN HẠN",COUNTIF($I$2:$I144,"ĐẾN HẠN"),"")</f>
      </c>
      <c r="K144" s="4"/>
    </row>
    <row r="145">
      <c r="A145" t="inlineStr">
        <is>
          <t xml:space="preserve">a0_food_140</t>
        </is>
      </c>
      <c r="B145">
        <f>IFERROR(VLOOKUP($A145,VOCAB!$A$2:$L$1500,5,FALSE),"")</f>
      </c>
      <c r="C145">
        <f>IFERROR(VLOOKUP($A145,VOCAB!$A$2:$L$1500,6,FALSE),"")</f>
      </c>
      <c r="D145">
        <f>IFERROR(VLOOKUP($A145,VOCAB!$A$2:$L$1500,8,FALSE),"")</f>
      </c>
      <c r="E145" s="4"/>
      <c r="F145" s="4"/>
      <c r="G145" s="4"/>
      <c r="H145">
        <f>IF($G145="","",$G145+IF($E145=0,1,IF($E145=1,1,IF($E145=2,2,IF($E145=3,4,IF($E145=4,7,14))))))</f>
      </c>
      <c r="I145">
        <f>IF($G145="","Mới",IF($H145&lt;=TODAY(),"ĐẾN HẠN","Lịch"))</f>
      </c>
      <c r="J145">
        <f>IF($I145="ĐẾN HẠN",COUNTIF($I$2:$I145,"ĐẾN HẠN"),"")</f>
      </c>
      <c r="K145" s="4"/>
    </row>
    <row r="146">
      <c r="A146" t="inlineStr">
        <is>
          <t xml:space="preserve">a0_food_141</t>
        </is>
      </c>
      <c r="B146">
        <f>IFERROR(VLOOKUP($A146,VOCAB!$A$2:$L$1500,5,FALSE),"")</f>
      </c>
      <c r="C146">
        <f>IFERROR(VLOOKUP($A146,VOCAB!$A$2:$L$1500,6,FALSE),"")</f>
      </c>
      <c r="D146">
        <f>IFERROR(VLOOKUP($A146,VOCAB!$A$2:$L$1500,8,FALSE),"")</f>
      </c>
      <c r="E146" s="4"/>
      <c r="F146" s="4"/>
      <c r="G146" s="4"/>
      <c r="H146">
        <f>IF($G146="","",$G146+IF($E146=0,1,IF($E146=1,1,IF($E146=2,2,IF($E146=3,4,IF($E146=4,7,14))))))</f>
      </c>
      <c r="I146">
        <f>IF($G146="","Mới",IF($H146&lt;=TODAY(),"ĐẾN HẠN","Lịch"))</f>
      </c>
      <c r="J146">
        <f>IF($I146="ĐẾN HẠN",COUNTIF($I$2:$I146,"ĐẾN HẠN"),"")</f>
      </c>
      <c r="K146" s="4"/>
    </row>
    <row r="147">
      <c r="A147" t="inlineStr">
        <is>
          <t xml:space="preserve">a0_food_142</t>
        </is>
      </c>
      <c r="B147">
        <f>IFERROR(VLOOKUP($A147,VOCAB!$A$2:$L$1500,5,FALSE),"")</f>
      </c>
      <c r="C147">
        <f>IFERROR(VLOOKUP($A147,VOCAB!$A$2:$L$1500,6,FALSE),"")</f>
      </c>
      <c r="D147">
        <f>IFERROR(VLOOKUP($A147,VOCAB!$A$2:$L$1500,8,FALSE),"")</f>
      </c>
      <c r="E147" s="4"/>
      <c r="F147" s="4"/>
      <c r="G147" s="4"/>
      <c r="H147">
        <f>IF($G147="","",$G147+IF($E147=0,1,IF($E147=1,1,IF($E147=2,2,IF($E147=3,4,IF($E147=4,7,14))))))</f>
      </c>
      <c r="I147">
        <f>IF($G147="","Mới",IF($H147&lt;=TODAY(),"ĐẾN HẠN","Lịch"))</f>
      </c>
      <c r="J147">
        <f>IF($I147="ĐẾN HẠN",COUNTIF($I$2:$I147,"ĐẾN HẠN"),"")</f>
      </c>
      <c r="K147" s="4"/>
    </row>
    <row r="148">
      <c r="A148" t="inlineStr">
        <is>
          <t xml:space="preserve">a0_food_143</t>
        </is>
      </c>
      <c r="B148">
        <f>IFERROR(VLOOKUP($A148,VOCAB!$A$2:$L$1500,5,FALSE),"")</f>
      </c>
      <c r="C148">
        <f>IFERROR(VLOOKUP($A148,VOCAB!$A$2:$L$1500,6,FALSE),"")</f>
      </c>
      <c r="D148">
        <f>IFERROR(VLOOKUP($A148,VOCAB!$A$2:$L$1500,8,FALSE),"")</f>
      </c>
      <c r="E148" s="4"/>
      <c r="F148" s="4"/>
      <c r="G148" s="4"/>
      <c r="H148">
        <f>IF($G148="","",$G148+IF($E148=0,1,IF($E148=1,1,IF($E148=2,2,IF($E148=3,4,IF($E148=4,7,14))))))</f>
      </c>
      <c r="I148">
        <f>IF($G148="","Mới",IF($H148&lt;=TODAY(),"ĐẾN HẠN","Lịch"))</f>
      </c>
      <c r="J148">
        <f>IF($I148="ĐẾN HẠN",COUNTIF($I$2:$I148,"ĐẾN HẠN"),"")</f>
      </c>
      <c r="K148" s="4"/>
    </row>
    <row r="149">
      <c r="A149" t="inlineStr">
        <is>
          <t xml:space="preserve">a0_food_144</t>
        </is>
      </c>
      <c r="B149">
        <f>IFERROR(VLOOKUP($A149,VOCAB!$A$2:$L$1500,5,FALSE),"")</f>
      </c>
      <c r="C149">
        <f>IFERROR(VLOOKUP($A149,VOCAB!$A$2:$L$1500,6,FALSE),"")</f>
      </c>
      <c r="D149">
        <f>IFERROR(VLOOKUP($A149,VOCAB!$A$2:$L$1500,8,FALSE),"")</f>
      </c>
      <c r="E149" s="4"/>
      <c r="F149" s="4"/>
      <c r="G149" s="4"/>
      <c r="H149">
        <f>IF($G149="","",$G149+IF($E149=0,1,IF($E149=1,1,IF($E149=2,2,IF($E149=3,4,IF($E149=4,7,14))))))</f>
      </c>
      <c r="I149">
        <f>IF($G149="","Mới",IF($H149&lt;=TODAY(),"ĐẾN HẠN","Lịch"))</f>
      </c>
      <c r="J149">
        <f>IF($I149="ĐẾN HẠN",COUNTIF($I$2:$I149,"ĐẾN HẠN"),"")</f>
      </c>
      <c r="K149" s="4"/>
    </row>
    <row r="150">
      <c r="A150" t="inlineStr">
        <is>
          <t xml:space="preserve">a0_food_145</t>
        </is>
      </c>
      <c r="B150">
        <f>IFERROR(VLOOKUP($A150,VOCAB!$A$2:$L$1500,5,FALSE),"")</f>
      </c>
      <c r="C150">
        <f>IFERROR(VLOOKUP($A150,VOCAB!$A$2:$L$1500,6,FALSE),"")</f>
      </c>
      <c r="D150">
        <f>IFERROR(VLOOKUP($A150,VOCAB!$A$2:$L$1500,8,FALSE),"")</f>
      </c>
      <c r="E150" s="4"/>
      <c r="F150" s="4"/>
      <c r="G150" s="4"/>
      <c r="H150">
        <f>IF($G150="","",$G150+IF($E150=0,1,IF($E150=1,1,IF($E150=2,2,IF($E150=3,4,IF($E150=4,7,14))))))</f>
      </c>
      <c r="I150">
        <f>IF($G150="","Mới",IF($H150&lt;=TODAY(),"ĐẾN HẠN","Lịch"))</f>
      </c>
      <c r="J150">
        <f>IF($I150="ĐẾN HẠN",COUNTIF($I$2:$I150,"ĐẾN HẠN"),"")</f>
      </c>
      <c r="K150" s="4"/>
    </row>
    <row r="151">
      <c r="A151" t="inlineStr">
        <is>
          <t xml:space="preserve">a0_food_146</t>
        </is>
      </c>
      <c r="B151">
        <f>IFERROR(VLOOKUP($A151,VOCAB!$A$2:$L$1500,5,FALSE),"")</f>
      </c>
      <c r="C151">
        <f>IFERROR(VLOOKUP($A151,VOCAB!$A$2:$L$1500,6,FALSE),"")</f>
      </c>
      <c r="D151">
        <f>IFERROR(VLOOKUP($A151,VOCAB!$A$2:$L$1500,8,FALSE),"")</f>
      </c>
      <c r="E151" s="4"/>
      <c r="F151" s="4"/>
      <c r="G151" s="4"/>
      <c r="H151">
        <f>IF($G151="","",$G151+IF($E151=0,1,IF($E151=1,1,IF($E151=2,2,IF($E151=3,4,IF($E151=4,7,14))))))</f>
      </c>
      <c r="I151">
        <f>IF($G151="","Mới",IF($H151&lt;=TODAY(),"ĐẾN HẠN","Lịch"))</f>
      </c>
      <c r="J151">
        <f>IF($I151="ĐẾN HẠN",COUNTIF($I$2:$I151,"ĐẾN HẠN"),"")</f>
      </c>
      <c r="K151" s="4"/>
    </row>
    <row r="152">
      <c r="A152" t="inlineStr">
        <is>
          <t xml:space="preserve">a0_food_147</t>
        </is>
      </c>
      <c r="B152">
        <f>IFERROR(VLOOKUP($A152,VOCAB!$A$2:$L$1500,5,FALSE),"")</f>
      </c>
      <c r="C152">
        <f>IFERROR(VLOOKUP($A152,VOCAB!$A$2:$L$1500,6,FALSE),"")</f>
      </c>
      <c r="D152">
        <f>IFERROR(VLOOKUP($A152,VOCAB!$A$2:$L$1500,8,FALSE),"")</f>
      </c>
      <c r="E152" s="4"/>
      <c r="F152" s="4"/>
      <c r="G152" s="4"/>
      <c r="H152">
        <f>IF($G152="","",$G152+IF($E152=0,1,IF($E152=1,1,IF($E152=2,2,IF($E152=3,4,IF($E152=4,7,14))))))</f>
      </c>
      <c r="I152">
        <f>IF($G152="","Mới",IF($H152&lt;=TODAY(),"ĐẾN HẠN","Lịch"))</f>
      </c>
      <c r="J152">
        <f>IF($I152="ĐẾN HẠN",COUNTIF($I$2:$I152,"ĐẾN HẠN"),"")</f>
      </c>
      <c r="K152" s="4"/>
    </row>
    <row r="153">
      <c r="A153" t="inlineStr">
        <is>
          <t xml:space="preserve">cur_v004</t>
        </is>
      </c>
      <c r="B153">
        <f>IFERROR(VLOOKUP($A153,VOCAB!$A$2:$L$1500,5,FALSE),"")</f>
      </c>
      <c r="C153">
        <f>IFERROR(VLOOKUP($A153,VOCAB!$A$2:$L$1500,6,FALSE),"")</f>
      </c>
      <c r="D153">
        <f>IFERROR(VLOOKUP($A153,VOCAB!$A$2:$L$1500,8,FALSE),"")</f>
      </c>
      <c r="E153" s="4"/>
      <c r="F153" s="4"/>
      <c r="G153" s="4"/>
      <c r="H153">
        <f>IF($G153="","",$G153+IF($E153=0,1,IF($E153=1,1,IF($E153=2,2,IF($E153=3,4,IF($E153=4,7,14))))))</f>
      </c>
      <c r="I153">
        <f>IF($G153="","Mới",IF($H153&lt;=TODAY(),"ĐẾN HẠN","Lịch"))</f>
      </c>
      <c r="J153">
        <f>IF($I153="ĐẾN HẠN",COUNTIF($I$2:$I153,"ĐẾN HẠN"),"")</f>
      </c>
      <c r="K153" s="4"/>
    </row>
    <row r="154">
      <c r="A154" t="inlineStr">
        <is>
          <t xml:space="preserve">a0_ask_148</t>
        </is>
      </c>
      <c r="B154">
        <f>IFERROR(VLOOKUP($A154,VOCAB!$A$2:$L$1500,5,FALSE),"")</f>
      </c>
      <c r="C154">
        <f>IFERROR(VLOOKUP($A154,VOCAB!$A$2:$L$1500,6,FALSE),"")</f>
      </c>
      <c r="D154">
        <f>IFERROR(VLOOKUP($A154,VOCAB!$A$2:$L$1500,8,FALSE),"")</f>
      </c>
      <c r="E154" s="4"/>
      <c r="F154" s="4"/>
      <c r="G154" s="4"/>
      <c r="H154">
        <f>IF($G154="","",$G154+IF($E154=0,1,IF($E154=1,1,IF($E154=2,2,IF($E154=3,4,IF($E154=4,7,14))))))</f>
      </c>
      <c r="I154">
        <f>IF($G154="","Mới",IF($H154&lt;=TODAY(),"ĐẾN HẠN","Lịch"))</f>
      </c>
      <c r="J154">
        <f>IF($I154="ĐẾN HẠN",COUNTIF($I$2:$I154,"ĐẾN HẠN"),"")</f>
      </c>
      <c r="K154" s="4"/>
    </row>
    <row r="155">
      <c r="A155" t="inlineStr">
        <is>
          <t xml:space="preserve">a0_ask_149</t>
        </is>
      </c>
      <c r="B155">
        <f>IFERROR(VLOOKUP($A155,VOCAB!$A$2:$L$1500,5,FALSE),"")</f>
      </c>
      <c r="C155">
        <f>IFERROR(VLOOKUP($A155,VOCAB!$A$2:$L$1500,6,FALSE),"")</f>
      </c>
      <c r="D155">
        <f>IFERROR(VLOOKUP($A155,VOCAB!$A$2:$L$1500,8,FALSE),"")</f>
      </c>
      <c r="E155" s="4"/>
      <c r="F155" s="4"/>
      <c r="G155" s="4"/>
      <c r="H155">
        <f>IF($G155="","",$G155+IF($E155=0,1,IF($E155=1,1,IF($E155=2,2,IF($E155=3,4,IF($E155=4,7,14))))))</f>
      </c>
      <c r="I155">
        <f>IF($G155="","Mới",IF($H155&lt;=TODAY(),"ĐẾN HẠN","Lịch"))</f>
      </c>
      <c r="J155">
        <f>IF($I155="ĐẾN HẠN",COUNTIF($I$2:$I155,"ĐẾN HẠN"),"")</f>
      </c>
      <c r="K155" s="4"/>
    </row>
    <row r="156">
      <c r="A156" t="inlineStr">
        <is>
          <t xml:space="preserve">a0_ask_150</t>
        </is>
      </c>
      <c r="B156">
        <f>IFERROR(VLOOKUP($A156,VOCAB!$A$2:$L$1500,5,FALSE),"")</f>
      </c>
      <c r="C156">
        <f>IFERROR(VLOOKUP($A156,VOCAB!$A$2:$L$1500,6,FALSE),"")</f>
      </c>
      <c r="D156">
        <f>IFERROR(VLOOKUP($A156,VOCAB!$A$2:$L$1500,8,FALSE),"")</f>
      </c>
      <c r="E156" s="4"/>
      <c r="F156" s="4"/>
      <c r="G156" s="4"/>
      <c r="H156">
        <f>IF($G156="","",$G156+IF($E156=0,1,IF($E156=1,1,IF($E156=2,2,IF($E156=3,4,IF($E156=4,7,14))))))</f>
      </c>
      <c r="I156">
        <f>IF($G156="","Mới",IF($H156&lt;=TODAY(),"ĐẾN HẠN","Lịch"))</f>
      </c>
      <c r="J156">
        <f>IF($I156="ĐẾN HẠN",COUNTIF($I$2:$I156,"ĐẾN HẠN"),"")</f>
      </c>
      <c r="K156" s="4"/>
    </row>
    <row r="157">
      <c r="A157" t="inlineStr">
        <is>
          <t xml:space="preserve">a0_ask_151</t>
        </is>
      </c>
      <c r="B157">
        <f>IFERROR(VLOOKUP($A157,VOCAB!$A$2:$L$1500,5,FALSE),"")</f>
      </c>
      <c r="C157">
        <f>IFERROR(VLOOKUP($A157,VOCAB!$A$2:$L$1500,6,FALSE),"")</f>
      </c>
      <c r="D157">
        <f>IFERROR(VLOOKUP($A157,VOCAB!$A$2:$L$1500,8,FALSE),"")</f>
      </c>
      <c r="E157" s="4"/>
      <c r="F157" s="4"/>
      <c r="G157" s="4"/>
      <c r="H157">
        <f>IF($G157="","",$G157+IF($E157=0,1,IF($E157=1,1,IF($E157=2,2,IF($E157=3,4,IF($E157=4,7,14))))))</f>
      </c>
      <c r="I157">
        <f>IF($G157="","Mới",IF($H157&lt;=TODAY(),"ĐẾN HẠN","Lịch"))</f>
      </c>
      <c r="J157">
        <f>IF($I157="ĐẾN HẠN",COUNTIF($I$2:$I157,"ĐẾN HẠN"),"")</f>
      </c>
      <c r="K157" s="4"/>
    </row>
    <row r="158">
      <c r="A158" t="inlineStr">
        <is>
          <t xml:space="preserve">a0_ask_152</t>
        </is>
      </c>
      <c r="B158">
        <f>IFERROR(VLOOKUP($A158,VOCAB!$A$2:$L$1500,5,FALSE),"")</f>
      </c>
      <c r="C158">
        <f>IFERROR(VLOOKUP($A158,VOCAB!$A$2:$L$1500,6,FALSE),"")</f>
      </c>
      <c r="D158">
        <f>IFERROR(VLOOKUP($A158,VOCAB!$A$2:$L$1500,8,FALSE),"")</f>
      </c>
      <c r="E158" s="4"/>
      <c r="F158" s="4"/>
      <c r="G158" s="4"/>
      <c r="H158">
        <f>IF($G158="","",$G158+IF($E158=0,1,IF($E158=1,1,IF($E158=2,2,IF($E158=3,4,IF($E158=4,7,14))))))</f>
      </c>
      <c r="I158">
        <f>IF($G158="","Mới",IF($H158&lt;=TODAY(),"ĐẾN HẠN","Lịch"))</f>
      </c>
      <c r="J158">
        <f>IF($I158="ĐẾN HẠN",COUNTIF($I$2:$I158,"ĐẾN HẠN"),"")</f>
      </c>
      <c r="K158" s="4"/>
    </row>
    <row r="159">
      <c r="A159" t="inlineStr">
        <is>
          <t xml:space="preserve">a0_ask_153</t>
        </is>
      </c>
      <c r="B159">
        <f>IFERROR(VLOOKUP($A159,VOCAB!$A$2:$L$1500,5,FALSE),"")</f>
      </c>
      <c r="C159">
        <f>IFERROR(VLOOKUP($A159,VOCAB!$A$2:$L$1500,6,FALSE),"")</f>
      </c>
      <c r="D159">
        <f>IFERROR(VLOOKUP($A159,VOCAB!$A$2:$L$1500,8,FALSE),"")</f>
      </c>
      <c r="E159" s="4"/>
      <c r="F159" s="4"/>
      <c r="G159" s="4"/>
      <c r="H159">
        <f>IF($G159="","",$G159+IF($E159=0,1,IF($E159=1,1,IF($E159=2,2,IF($E159=3,4,IF($E159=4,7,14))))))</f>
      </c>
      <c r="I159">
        <f>IF($G159="","Mới",IF($H159&lt;=TODAY(),"ĐẾN HẠN","Lịch"))</f>
      </c>
      <c r="J159">
        <f>IF($I159="ĐẾN HẠN",COUNTIF($I$2:$I159,"ĐẾN HẠN"),"")</f>
      </c>
      <c r="K159" s="4"/>
    </row>
    <row r="160">
      <c r="A160" t="inlineStr">
        <is>
          <t xml:space="preserve">a0_ask_154</t>
        </is>
      </c>
      <c r="B160">
        <f>IFERROR(VLOOKUP($A160,VOCAB!$A$2:$L$1500,5,FALSE),"")</f>
      </c>
      <c r="C160">
        <f>IFERROR(VLOOKUP($A160,VOCAB!$A$2:$L$1500,6,FALSE),"")</f>
      </c>
      <c r="D160">
        <f>IFERROR(VLOOKUP($A160,VOCAB!$A$2:$L$1500,8,FALSE),"")</f>
      </c>
      <c r="E160" s="4"/>
      <c r="F160" s="4"/>
      <c r="G160" s="4"/>
      <c r="H160">
        <f>IF($G160="","",$G160+IF($E160=0,1,IF($E160=1,1,IF($E160=2,2,IF($E160=3,4,IF($E160=4,7,14))))))</f>
      </c>
      <c r="I160">
        <f>IF($G160="","Mới",IF($H160&lt;=TODAY(),"ĐẾN HẠN","Lịch"))</f>
      </c>
      <c r="J160">
        <f>IF($I160="ĐẾN HẠN",COUNTIF($I$2:$I160,"ĐẾN HẠN"),"")</f>
      </c>
      <c r="K160" s="4"/>
    </row>
    <row r="161">
      <c r="A161" t="inlineStr">
        <is>
          <t xml:space="preserve">a0_ask_155</t>
        </is>
      </c>
      <c r="B161">
        <f>IFERROR(VLOOKUP($A161,VOCAB!$A$2:$L$1500,5,FALSE),"")</f>
      </c>
      <c r="C161">
        <f>IFERROR(VLOOKUP($A161,VOCAB!$A$2:$L$1500,6,FALSE),"")</f>
      </c>
      <c r="D161">
        <f>IFERROR(VLOOKUP($A161,VOCAB!$A$2:$L$1500,8,FALSE),"")</f>
      </c>
      <c r="E161" s="4"/>
      <c r="F161" s="4"/>
      <c r="G161" s="4"/>
      <c r="H161">
        <f>IF($G161="","",$G161+IF($E161=0,1,IF($E161=1,1,IF($E161=2,2,IF($E161=3,4,IF($E161=4,7,14))))))</f>
      </c>
      <c r="I161">
        <f>IF($G161="","Mới",IF($H161&lt;=TODAY(),"ĐẾN HẠN","Lịch"))</f>
      </c>
      <c r="J161">
        <f>IF($I161="ĐẾN HẠN",COUNTIF($I$2:$I161,"ĐẾN HẠN"),"")</f>
      </c>
      <c r="K161" s="4"/>
    </row>
    <row r="162">
      <c r="A162" t="inlineStr">
        <is>
          <t xml:space="preserve">a0_ask_156</t>
        </is>
      </c>
      <c r="B162">
        <f>IFERROR(VLOOKUP($A162,VOCAB!$A$2:$L$1500,5,FALSE),"")</f>
      </c>
      <c r="C162">
        <f>IFERROR(VLOOKUP($A162,VOCAB!$A$2:$L$1500,6,FALSE),"")</f>
      </c>
      <c r="D162">
        <f>IFERROR(VLOOKUP($A162,VOCAB!$A$2:$L$1500,8,FALSE),"")</f>
      </c>
      <c r="E162" s="4"/>
      <c r="F162" s="4"/>
      <c r="G162" s="4"/>
      <c r="H162">
        <f>IF($G162="","",$G162+IF($E162=0,1,IF($E162=1,1,IF($E162=2,2,IF($E162=3,4,IF($E162=4,7,14))))))</f>
      </c>
      <c r="I162">
        <f>IF($G162="","Mới",IF($H162&lt;=TODAY(),"ĐẾN HẠN","Lịch"))</f>
      </c>
      <c r="J162">
        <f>IF($I162="ĐẾN HẠN",COUNTIF($I$2:$I162,"ĐẾN HẠN"),"")</f>
      </c>
      <c r="K162" s="4"/>
    </row>
    <row r="163">
      <c r="A163" t="inlineStr">
        <is>
          <t xml:space="preserve">a0_ask_157</t>
        </is>
      </c>
      <c r="B163">
        <f>IFERROR(VLOOKUP($A163,VOCAB!$A$2:$L$1500,5,FALSE),"")</f>
      </c>
      <c r="C163">
        <f>IFERROR(VLOOKUP($A163,VOCAB!$A$2:$L$1500,6,FALSE),"")</f>
      </c>
      <c r="D163">
        <f>IFERROR(VLOOKUP($A163,VOCAB!$A$2:$L$1500,8,FALSE),"")</f>
      </c>
      <c r="E163" s="4"/>
      <c r="F163" s="4"/>
      <c r="G163" s="4"/>
      <c r="H163">
        <f>IF($G163="","",$G163+IF($E163=0,1,IF($E163=1,1,IF($E163=2,2,IF($E163=3,4,IF($E163=4,7,14))))))</f>
      </c>
      <c r="I163">
        <f>IF($G163="","Mới",IF($H163&lt;=TODAY(),"ĐẾN HẠN","Lịch"))</f>
      </c>
      <c r="J163">
        <f>IF($I163="ĐẾN HẠN",COUNTIF($I$2:$I163,"ĐẾN HẠN"),"")</f>
      </c>
      <c r="K163" s="4"/>
    </row>
    <row r="164">
      <c r="A164" t="inlineStr">
        <is>
          <t xml:space="preserve">a0_ask_158</t>
        </is>
      </c>
      <c r="B164">
        <f>IFERROR(VLOOKUP($A164,VOCAB!$A$2:$L$1500,5,FALSE),"")</f>
      </c>
      <c r="C164">
        <f>IFERROR(VLOOKUP($A164,VOCAB!$A$2:$L$1500,6,FALSE),"")</f>
      </c>
      <c r="D164">
        <f>IFERROR(VLOOKUP($A164,VOCAB!$A$2:$L$1500,8,FALSE),"")</f>
      </c>
      <c r="E164" s="4"/>
      <c r="F164" s="4"/>
      <c r="G164" s="4"/>
      <c r="H164">
        <f>IF($G164="","",$G164+IF($E164=0,1,IF($E164=1,1,IF($E164=2,2,IF($E164=3,4,IF($E164=4,7,14))))))</f>
      </c>
      <c r="I164">
        <f>IF($G164="","Mới",IF($H164&lt;=TODAY(),"ĐẾN HẠN","Lịch"))</f>
      </c>
      <c r="J164">
        <f>IF($I164="ĐẾN HẠN",COUNTIF($I$2:$I164,"ĐẾN HẠN"),"")</f>
      </c>
      <c r="K164" s="4"/>
    </row>
    <row r="165">
      <c r="A165" t="inlineStr">
        <is>
          <t xml:space="preserve">a0_ask_159</t>
        </is>
      </c>
      <c r="B165">
        <f>IFERROR(VLOOKUP($A165,VOCAB!$A$2:$L$1500,5,FALSE),"")</f>
      </c>
      <c r="C165">
        <f>IFERROR(VLOOKUP($A165,VOCAB!$A$2:$L$1500,6,FALSE),"")</f>
      </c>
      <c r="D165">
        <f>IFERROR(VLOOKUP($A165,VOCAB!$A$2:$L$1500,8,FALSE),"")</f>
      </c>
      <c r="E165" s="4"/>
      <c r="F165" s="4"/>
      <c r="G165" s="4"/>
      <c r="H165">
        <f>IF($G165="","",$G165+IF($E165=0,1,IF($E165=1,1,IF($E165=2,2,IF($E165=3,4,IF($E165=4,7,14))))))</f>
      </c>
      <c r="I165">
        <f>IF($G165="","Mới",IF($H165&lt;=TODAY(),"ĐẾN HẠN","Lịch"))</f>
      </c>
      <c r="J165">
        <f>IF($I165="ĐẾN HẠN",COUNTIF($I$2:$I165,"ĐẾN HẠN"),"")</f>
      </c>
      <c r="K165" s="4"/>
    </row>
    <row r="166">
      <c r="A166" t="inlineStr">
        <is>
          <t xml:space="preserve">a0_ask_160</t>
        </is>
      </c>
      <c r="B166">
        <f>IFERROR(VLOOKUP($A166,VOCAB!$A$2:$L$1500,5,FALSE),"")</f>
      </c>
      <c r="C166">
        <f>IFERROR(VLOOKUP($A166,VOCAB!$A$2:$L$1500,6,FALSE),"")</f>
      </c>
      <c r="D166">
        <f>IFERROR(VLOOKUP($A166,VOCAB!$A$2:$L$1500,8,FALSE),"")</f>
      </c>
      <c r="E166" s="4"/>
      <c r="F166" s="4"/>
      <c r="G166" s="4"/>
      <c r="H166">
        <f>IF($G166="","",$G166+IF($E166=0,1,IF($E166=1,1,IF($E166=2,2,IF($E166=3,4,IF($E166=4,7,14))))))</f>
      </c>
      <c r="I166">
        <f>IF($G166="","Mới",IF($H166&lt;=TODAY(),"ĐẾN HẠN","Lịch"))</f>
      </c>
      <c r="J166">
        <f>IF($I166="ĐẾN HẠN",COUNTIF($I$2:$I166,"ĐẾN HẠN"),"")</f>
      </c>
      <c r="K166" s="4"/>
    </row>
    <row r="167">
      <c r="A167" t="inlineStr">
        <is>
          <t xml:space="preserve">a0_ask_161</t>
        </is>
      </c>
      <c r="B167">
        <f>IFERROR(VLOOKUP($A167,VOCAB!$A$2:$L$1500,5,FALSE),"")</f>
      </c>
      <c r="C167">
        <f>IFERROR(VLOOKUP($A167,VOCAB!$A$2:$L$1500,6,FALSE),"")</f>
      </c>
      <c r="D167">
        <f>IFERROR(VLOOKUP($A167,VOCAB!$A$2:$L$1500,8,FALSE),"")</f>
      </c>
      <c r="E167" s="4"/>
      <c r="F167" s="4"/>
      <c r="G167" s="4"/>
      <c r="H167">
        <f>IF($G167="","",$G167+IF($E167=0,1,IF($E167=1,1,IF($E167=2,2,IF($E167=3,4,IF($E167=4,7,14))))))</f>
      </c>
      <c r="I167">
        <f>IF($G167="","Mới",IF($H167&lt;=TODAY(),"ĐẾN HẠN","Lịch"))</f>
      </c>
      <c r="J167">
        <f>IF($I167="ĐẾN HẠN",COUNTIF($I$2:$I167,"ĐẾN HẠN"),"")</f>
      </c>
      <c r="K167" s="4"/>
    </row>
    <row r="168">
      <c r="A168" t="inlineStr">
        <is>
          <t xml:space="preserve">a0_ask_162</t>
        </is>
      </c>
      <c r="B168">
        <f>IFERROR(VLOOKUP($A168,VOCAB!$A$2:$L$1500,5,FALSE),"")</f>
      </c>
      <c r="C168">
        <f>IFERROR(VLOOKUP($A168,VOCAB!$A$2:$L$1500,6,FALSE),"")</f>
      </c>
      <c r="D168">
        <f>IFERROR(VLOOKUP($A168,VOCAB!$A$2:$L$1500,8,FALSE),"")</f>
      </c>
      <c r="E168" s="4"/>
      <c r="F168" s="4"/>
      <c r="G168" s="4"/>
      <c r="H168">
        <f>IF($G168="","",$G168+IF($E168=0,1,IF($E168=1,1,IF($E168=2,2,IF($E168=3,4,IF($E168=4,7,14))))))</f>
      </c>
      <c r="I168">
        <f>IF($G168="","Mới",IF($H168&lt;=TODAY(),"ĐẾN HẠN","Lịch"))</f>
      </c>
      <c r="J168">
        <f>IF($I168="ĐẾN HẠN",COUNTIF($I$2:$I168,"ĐẾN HẠN"),"")</f>
      </c>
      <c r="K168" s="4"/>
    </row>
    <row r="169">
      <c r="A169" t="inlineStr">
        <is>
          <t xml:space="preserve">cur_v006</t>
        </is>
      </c>
      <c r="B169">
        <f>IFERROR(VLOOKUP($A169,VOCAB!$A$2:$L$1500,5,FALSE),"")</f>
      </c>
      <c r="C169">
        <f>IFERROR(VLOOKUP($A169,VOCAB!$A$2:$L$1500,6,FALSE),"")</f>
      </c>
      <c r="D169">
        <f>IFERROR(VLOOKUP($A169,VOCAB!$A$2:$L$1500,8,FALSE),"")</f>
      </c>
      <c r="E169" s="4"/>
      <c r="F169" s="4"/>
      <c r="G169" s="4"/>
      <c r="H169">
        <f>IF($G169="","",$G169+IF($E169=0,1,IF($E169=1,1,IF($E169=2,2,IF($E169=3,4,IF($E169=4,7,14))))))</f>
      </c>
      <c r="I169">
        <f>IF($G169="","Mới",IF($H169&lt;=TODAY(),"ĐẾN HẠN","Lịch"))</f>
      </c>
      <c r="J169">
        <f>IF($I169="ĐẾN HẠN",COUNTIF($I$2:$I169,"ĐẾN HẠN"),"")</f>
      </c>
      <c r="K169" s="4"/>
    </row>
    <row r="170">
      <c r="A170" t="inlineStr">
        <is>
          <t xml:space="preserve">cur_v008</t>
        </is>
      </c>
      <c r="B170">
        <f>IFERROR(VLOOKUP($A170,VOCAB!$A$2:$L$1500,5,FALSE),"")</f>
      </c>
      <c r="C170">
        <f>IFERROR(VLOOKUP($A170,VOCAB!$A$2:$L$1500,6,FALSE),"")</f>
      </c>
      <c r="D170">
        <f>IFERROR(VLOOKUP($A170,VOCAB!$A$2:$L$1500,8,FALSE),"")</f>
      </c>
      <c r="E170" s="4"/>
      <c r="F170" s="4"/>
      <c r="G170" s="4"/>
      <c r="H170">
        <f>IF($G170="","",$G170+IF($E170=0,1,IF($E170=1,1,IF($E170=2,2,IF($E170=3,4,IF($E170=4,7,14))))))</f>
      </c>
      <c r="I170">
        <f>IF($G170="","Mới",IF($H170&lt;=TODAY(),"ĐẾN HẠN","Lịch"))</f>
      </c>
      <c r="J170">
        <f>IF($I170="ĐẾN HẠN",COUNTIF($I$2:$I170,"ĐẾN HẠN"),"")</f>
      </c>
      <c r="K170" s="4"/>
    </row>
    <row r="171">
      <c r="A171" t="inlineStr">
        <is>
          <t xml:space="preserve">cur_v009</t>
        </is>
      </c>
      <c r="B171">
        <f>IFERROR(VLOOKUP($A171,VOCAB!$A$2:$L$1500,5,FALSE),"")</f>
      </c>
      <c r="C171">
        <f>IFERROR(VLOOKUP($A171,VOCAB!$A$2:$L$1500,6,FALSE),"")</f>
      </c>
      <c r="D171">
        <f>IFERROR(VLOOKUP($A171,VOCAB!$A$2:$L$1500,8,FALSE),"")</f>
      </c>
      <c r="E171" s="4"/>
      <c r="F171" s="4"/>
      <c r="G171" s="4"/>
      <c r="H171">
        <f>IF($G171="","",$G171+IF($E171=0,1,IF($E171=1,1,IF($E171=2,2,IF($E171=3,4,IF($E171=4,7,14))))))</f>
      </c>
      <c r="I171">
        <f>IF($G171="","Mới",IF($H171&lt;=TODAY(),"ĐẾN HẠN","Lịch"))</f>
      </c>
      <c r="J171">
        <f>IF($I171="ĐẾN HẠN",COUNTIF($I$2:$I171,"ĐẾN HẠN"),"")</f>
      </c>
      <c r="K171" s="4"/>
    </row>
    <row r="172">
      <c r="A172" t="inlineStr">
        <is>
          <t xml:space="preserve">a1_daily_001</t>
        </is>
      </c>
      <c r="B172">
        <f>IFERROR(VLOOKUP($A172,VOCAB!$A$2:$L$1500,5,FALSE),"")</f>
      </c>
      <c r="C172">
        <f>IFERROR(VLOOKUP($A172,VOCAB!$A$2:$L$1500,6,FALSE),"")</f>
      </c>
      <c r="D172">
        <f>IFERROR(VLOOKUP($A172,VOCAB!$A$2:$L$1500,8,FALSE),"")</f>
      </c>
      <c r="E172" s="4"/>
      <c r="F172" s="4"/>
      <c r="G172" s="4"/>
      <c r="H172">
        <f>IF($G172="","",$G172+IF($E172=0,1,IF($E172=1,1,IF($E172=2,2,IF($E172=3,4,IF($E172=4,7,14))))))</f>
      </c>
      <c r="I172">
        <f>IF($G172="","Mới",IF($H172&lt;=TODAY(),"ĐẾN HẠN","Lịch"))</f>
      </c>
      <c r="J172">
        <f>IF($I172="ĐẾN HẠN",COUNTIF($I$2:$I172,"ĐẾN HẠN"),"")</f>
      </c>
      <c r="K172" s="4"/>
    </row>
    <row r="173">
      <c r="A173" t="inlineStr">
        <is>
          <t xml:space="preserve">a1_daily_002</t>
        </is>
      </c>
      <c r="B173">
        <f>IFERROR(VLOOKUP($A173,VOCAB!$A$2:$L$1500,5,FALSE),"")</f>
      </c>
      <c r="C173">
        <f>IFERROR(VLOOKUP($A173,VOCAB!$A$2:$L$1500,6,FALSE),"")</f>
      </c>
      <c r="D173">
        <f>IFERROR(VLOOKUP($A173,VOCAB!$A$2:$L$1500,8,FALSE),"")</f>
      </c>
      <c r="E173" s="4"/>
      <c r="F173" s="4"/>
      <c r="G173" s="4"/>
      <c r="H173">
        <f>IF($G173="","",$G173+IF($E173=0,1,IF($E173=1,1,IF($E173=2,2,IF($E173=3,4,IF($E173=4,7,14))))))</f>
      </c>
      <c r="I173">
        <f>IF($G173="","Mới",IF($H173&lt;=TODAY(),"ĐẾN HẠN","Lịch"))</f>
      </c>
      <c r="J173">
        <f>IF($I173="ĐẾN HẠN",COUNTIF($I$2:$I173,"ĐẾN HẠN"),"")</f>
      </c>
      <c r="K173" s="4"/>
    </row>
    <row r="174">
      <c r="A174" t="inlineStr">
        <is>
          <t xml:space="preserve">a1_daily_003</t>
        </is>
      </c>
      <c r="B174">
        <f>IFERROR(VLOOKUP($A174,VOCAB!$A$2:$L$1500,5,FALSE),"")</f>
      </c>
      <c r="C174">
        <f>IFERROR(VLOOKUP($A174,VOCAB!$A$2:$L$1500,6,FALSE),"")</f>
      </c>
      <c r="D174">
        <f>IFERROR(VLOOKUP($A174,VOCAB!$A$2:$L$1500,8,FALSE),"")</f>
      </c>
      <c r="E174" s="4"/>
      <c r="F174" s="4"/>
      <c r="G174" s="4"/>
      <c r="H174">
        <f>IF($G174="","",$G174+IF($E174=0,1,IF($E174=1,1,IF($E174=2,2,IF($E174=3,4,IF($E174=4,7,14))))))</f>
      </c>
      <c r="I174">
        <f>IF($G174="","Mới",IF($H174&lt;=TODAY(),"ĐẾN HẠN","Lịch"))</f>
      </c>
      <c r="J174">
        <f>IF($I174="ĐẾN HẠN",COUNTIF($I$2:$I174,"ĐẾN HẠN"),"")</f>
      </c>
      <c r="K174" s="4"/>
    </row>
    <row r="175">
      <c r="A175" t="inlineStr">
        <is>
          <t xml:space="preserve">a1_daily_004</t>
        </is>
      </c>
      <c r="B175">
        <f>IFERROR(VLOOKUP($A175,VOCAB!$A$2:$L$1500,5,FALSE),"")</f>
      </c>
      <c r="C175">
        <f>IFERROR(VLOOKUP($A175,VOCAB!$A$2:$L$1500,6,FALSE),"")</f>
      </c>
      <c r="D175">
        <f>IFERROR(VLOOKUP($A175,VOCAB!$A$2:$L$1500,8,FALSE),"")</f>
      </c>
      <c r="E175" s="4"/>
      <c r="F175" s="4"/>
      <c r="G175" s="4"/>
      <c r="H175">
        <f>IF($G175="","",$G175+IF($E175=0,1,IF($E175=1,1,IF($E175=2,2,IF($E175=3,4,IF($E175=4,7,14))))))</f>
      </c>
      <c r="I175">
        <f>IF($G175="","Mới",IF($H175&lt;=TODAY(),"ĐẾN HẠN","Lịch"))</f>
      </c>
      <c r="J175">
        <f>IF($I175="ĐẾN HẠN",COUNTIF($I$2:$I175,"ĐẾN HẠN"),"")</f>
      </c>
      <c r="K175" s="4"/>
    </row>
    <row r="176">
      <c r="A176" t="inlineStr">
        <is>
          <t xml:space="preserve">a1_daily_005</t>
        </is>
      </c>
      <c r="B176">
        <f>IFERROR(VLOOKUP($A176,VOCAB!$A$2:$L$1500,5,FALSE),"")</f>
      </c>
      <c r="C176">
        <f>IFERROR(VLOOKUP($A176,VOCAB!$A$2:$L$1500,6,FALSE),"")</f>
      </c>
      <c r="D176">
        <f>IFERROR(VLOOKUP($A176,VOCAB!$A$2:$L$1500,8,FALSE),"")</f>
      </c>
      <c r="E176" s="4"/>
      <c r="F176" s="4"/>
      <c r="G176" s="4"/>
      <c r="H176">
        <f>IF($G176="","",$G176+IF($E176=0,1,IF($E176=1,1,IF($E176=2,2,IF($E176=3,4,IF($E176=4,7,14))))))</f>
      </c>
      <c r="I176">
        <f>IF($G176="","Mới",IF($H176&lt;=TODAY(),"ĐẾN HẠN","Lịch"))</f>
      </c>
      <c r="J176">
        <f>IF($I176="ĐẾN HẠN",COUNTIF($I$2:$I176,"ĐẾN HẠN"),"")</f>
      </c>
      <c r="K176" s="4"/>
    </row>
    <row r="177">
      <c r="A177" t="inlineStr">
        <is>
          <t xml:space="preserve">a1_daily_006</t>
        </is>
      </c>
      <c r="B177">
        <f>IFERROR(VLOOKUP($A177,VOCAB!$A$2:$L$1500,5,FALSE),"")</f>
      </c>
      <c r="C177">
        <f>IFERROR(VLOOKUP($A177,VOCAB!$A$2:$L$1500,6,FALSE),"")</f>
      </c>
      <c r="D177">
        <f>IFERROR(VLOOKUP($A177,VOCAB!$A$2:$L$1500,8,FALSE),"")</f>
      </c>
      <c r="E177" s="4"/>
      <c r="F177" s="4"/>
      <c r="G177" s="4"/>
      <c r="H177">
        <f>IF($G177="","",$G177+IF($E177=0,1,IF($E177=1,1,IF($E177=2,2,IF($E177=3,4,IF($E177=4,7,14))))))</f>
      </c>
      <c r="I177">
        <f>IF($G177="","Mới",IF($H177&lt;=TODAY(),"ĐẾN HẠN","Lịch"))</f>
      </c>
      <c r="J177">
        <f>IF($I177="ĐẾN HẠN",COUNTIF($I$2:$I177,"ĐẾN HẠN"),"")</f>
      </c>
      <c r="K177" s="4"/>
    </row>
    <row r="178">
      <c r="A178" t="inlineStr">
        <is>
          <t xml:space="preserve">a1_daily_007</t>
        </is>
      </c>
      <c r="B178">
        <f>IFERROR(VLOOKUP($A178,VOCAB!$A$2:$L$1500,5,FALSE),"")</f>
      </c>
      <c r="C178">
        <f>IFERROR(VLOOKUP($A178,VOCAB!$A$2:$L$1500,6,FALSE),"")</f>
      </c>
      <c r="D178">
        <f>IFERROR(VLOOKUP($A178,VOCAB!$A$2:$L$1500,8,FALSE),"")</f>
      </c>
      <c r="E178" s="4"/>
      <c r="F178" s="4"/>
      <c r="G178" s="4"/>
      <c r="H178">
        <f>IF($G178="","",$G178+IF($E178=0,1,IF($E178=1,1,IF($E178=2,2,IF($E178=3,4,IF($E178=4,7,14))))))</f>
      </c>
      <c r="I178">
        <f>IF($G178="","Mới",IF($H178&lt;=TODAY(),"ĐẾN HẠN","Lịch"))</f>
      </c>
      <c r="J178">
        <f>IF($I178="ĐẾN HẠN",COUNTIF($I$2:$I178,"ĐẾN HẠN"),"")</f>
      </c>
      <c r="K178" s="4"/>
    </row>
    <row r="179">
      <c r="A179" t="inlineStr">
        <is>
          <t xml:space="preserve">a1_daily_008</t>
        </is>
      </c>
      <c r="B179">
        <f>IFERROR(VLOOKUP($A179,VOCAB!$A$2:$L$1500,5,FALSE),"")</f>
      </c>
      <c r="C179">
        <f>IFERROR(VLOOKUP($A179,VOCAB!$A$2:$L$1500,6,FALSE),"")</f>
      </c>
      <c r="D179">
        <f>IFERROR(VLOOKUP($A179,VOCAB!$A$2:$L$1500,8,FALSE),"")</f>
      </c>
      <c r="E179" s="4"/>
      <c r="F179" s="4"/>
      <c r="G179" s="4"/>
      <c r="H179">
        <f>IF($G179="","",$G179+IF($E179=0,1,IF($E179=1,1,IF($E179=2,2,IF($E179=3,4,IF($E179=4,7,14))))))</f>
      </c>
      <c r="I179">
        <f>IF($G179="","Mới",IF($H179&lt;=TODAY(),"ĐẾN HẠN","Lịch"))</f>
      </c>
      <c r="J179">
        <f>IF($I179="ĐẾN HẠN",COUNTIF($I$2:$I179,"ĐẾN HẠN"),"")</f>
      </c>
      <c r="K179" s="4"/>
    </row>
    <row r="180">
      <c r="A180" t="inlineStr">
        <is>
          <t xml:space="preserve">a1_daily_009</t>
        </is>
      </c>
      <c r="B180">
        <f>IFERROR(VLOOKUP($A180,VOCAB!$A$2:$L$1500,5,FALSE),"")</f>
      </c>
      <c r="C180">
        <f>IFERROR(VLOOKUP($A180,VOCAB!$A$2:$L$1500,6,FALSE),"")</f>
      </c>
      <c r="D180">
        <f>IFERROR(VLOOKUP($A180,VOCAB!$A$2:$L$1500,8,FALSE),"")</f>
      </c>
      <c r="E180" s="4"/>
      <c r="F180" s="4"/>
      <c r="G180" s="4"/>
      <c r="H180">
        <f>IF($G180="","",$G180+IF($E180=0,1,IF($E180=1,1,IF($E180=2,2,IF($E180=3,4,IF($E180=4,7,14))))))</f>
      </c>
      <c r="I180">
        <f>IF($G180="","Mới",IF($H180&lt;=TODAY(),"ĐẾN HẠN","Lịch"))</f>
      </c>
      <c r="J180">
        <f>IF($I180="ĐẾN HẠN",COUNTIF($I$2:$I180,"ĐẾN HẠN"),"")</f>
      </c>
      <c r="K180" s="4"/>
    </row>
    <row r="181">
      <c r="A181" t="inlineStr">
        <is>
          <t xml:space="preserve">a1_daily_010</t>
        </is>
      </c>
      <c r="B181">
        <f>IFERROR(VLOOKUP($A181,VOCAB!$A$2:$L$1500,5,FALSE),"")</f>
      </c>
      <c r="C181">
        <f>IFERROR(VLOOKUP($A181,VOCAB!$A$2:$L$1500,6,FALSE),"")</f>
      </c>
      <c r="D181">
        <f>IFERROR(VLOOKUP($A181,VOCAB!$A$2:$L$1500,8,FALSE),"")</f>
      </c>
      <c r="E181" s="4"/>
      <c r="F181" s="4"/>
      <c r="G181" s="4"/>
      <c r="H181">
        <f>IF($G181="","",$G181+IF($E181=0,1,IF($E181=1,1,IF($E181=2,2,IF($E181=3,4,IF($E181=4,7,14))))))</f>
      </c>
      <c r="I181">
        <f>IF($G181="","Mới",IF($H181&lt;=TODAY(),"ĐẾN HẠN","Lịch"))</f>
      </c>
      <c r="J181">
        <f>IF($I181="ĐẾN HẠN",COUNTIF($I$2:$I181,"ĐẾN HẠN"),"")</f>
      </c>
      <c r="K181" s="4"/>
    </row>
    <row r="182">
      <c r="A182" t="inlineStr">
        <is>
          <t xml:space="preserve">a1_daily_011</t>
        </is>
      </c>
      <c r="B182">
        <f>IFERROR(VLOOKUP($A182,VOCAB!$A$2:$L$1500,5,FALSE),"")</f>
      </c>
      <c r="C182">
        <f>IFERROR(VLOOKUP($A182,VOCAB!$A$2:$L$1500,6,FALSE),"")</f>
      </c>
      <c r="D182">
        <f>IFERROR(VLOOKUP($A182,VOCAB!$A$2:$L$1500,8,FALSE),"")</f>
      </c>
      <c r="E182" s="4"/>
      <c r="F182" s="4"/>
      <c r="G182" s="4"/>
      <c r="H182">
        <f>IF($G182="","",$G182+IF($E182=0,1,IF($E182=1,1,IF($E182=2,2,IF($E182=3,4,IF($E182=4,7,14))))))</f>
      </c>
      <c r="I182">
        <f>IF($G182="","Mới",IF($H182&lt;=TODAY(),"ĐẾN HẠN","Lịch"))</f>
      </c>
      <c r="J182">
        <f>IF($I182="ĐẾN HẠN",COUNTIF($I$2:$I182,"ĐẾN HẠN"),"")</f>
      </c>
      <c r="K182" s="4"/>
    </row>
    <row r="183">
      <c r="A183" t="inlineStr">
        <is>
          <t xml:space="preserve">a1_daily_012</t>
        </is>
      </c>
      <c r="B183">
        <f>IFERROR(VLOOKUP($A183,VOCAB!$A$2:$L$1500,5,FALSE),"")</f>
      </c>
      <c r="C183">
        <f>IFERROR(VLOOKUP($A183,VOCAB!$A$2:$L$1500,6,FALSE),"")</f>
      </c>
      <c r="D183">
        <f>IFERROR(VLOOKUP($A183,VOCAB!$A$2:$L$1500,8,FALSE),"")</f>
      </c>
      <c r="E183" s="4"/>
      <c r="F183" s="4"/>
      <c r="G183" s="4"/>
      <c r="H183">
        <f>IF($G183="","",$G183+IF($E183=0,1,IF($E183=1,1,IF($E183=2,2,IF($E183=3,4,IF($E183=4,7,14))))))</f>
      </c>
      <c r="I183">
        <f>IF($G183="","Mới",IF($H183&lt;=TODAY(),"ĐẾN HẠN","Lịch"))</f>
      </c>
      <c r="J183">
        <f>IF($I183="ĐẾN HẠN",COUNTIF($I$2:$I183,"ĐẾN HẠN"),"")</f>
      </c>
      <c r="K183" s="4"/>
    </row>
    <row r="184">
      <c r="A184" t="inlineStr">
        <is>
          <t xml:space="preserve">a1_daily_013</t>
        </is>
      </c>
      <c r="B184">
        <f>IFERROR(VLOOKUP($A184,VOCAB!$A$2:$L$1500,5,FALSE),"")</f>
      </c>
      <c r="C184">
        <f>IFERROR(VLOOKUP($A184,VOCAB!$A$2:$L$1500,6,FALSE),"")</f>
      </c>
      <c r="D184">
        <f>IFERROR(VLOOKUP($A184,VOCAB!$A$2:$L$1500,8,FALSE),"")</f>
      </c>
      <c r="E184" s="4"/>
      <c r="F184" s="4"/>
      <c r="G184" s="4"/>
      <c r="H184">
        <f>IF($G184="","",$G184+IF($E184=0,1,IF($E184=1,1,IF($E184=2,2,IF($E184=3,4,IF($E184=4,7,14))))))</f>
      </c>
      <c r="I184">
        <f>IF($G184="","Mới",IF($H184&lt;=TODAY(),"ĐẾN HẠN","Lịch"))</f>
      </c>
      <c r="J184">
        <f>IF($I184="ĐẾN HẠN",COUNTIF($I$2:$I184,"ĐẾN HẠN"),"")</f>
      </c>
      <c r="K184" s="4"/>
    </row>
    <row r="185">
      <c r="A185" t="inlineStr">
        <is>
          <t xml:space="preserve">a1_daily_014</t>
        </is>
      </c>
      <c r="B185">
        <f>IFERROR(VLOOKUP($A185,VOCAB!$A$2:$L$1500,5,FALSE),"")</f>
      </c>
      <c r="C185">
        <f>IFERROR(VLOOKUP($A185,VOCAB!$A$2:$L$1500,6,FALSE),"")</f>
      </c>
      <c r="D185">
        <f>IFERROR(VLOOKUP($A185,VOCAB!$A$2:$L$1500,8,FALSE),"")</f>
      </c>
      <c r="E185" s="4"/>
      <c r="F185" s="4"/>
      <c r="G185" s="4"/>
      <c r="H185">
        <f>IF($G185="","",$G185+IF($E185=0,1,IF($E185=1,1,IF($E185=2,2,IF($E185=3,4,IF($E185=4,7,14))))))</f>
      </c>
      <c r="I185">
        <f>IF($G185="","Mới",IF($H185&lt;=TODAY(),"ĐẾN HẠN","Lịch"))</f>
      </c>
      <c r="J185">
        <f>IF($I185="ĐẾN HẠN",COUNTIF($I$2:$I185,"ĐẾN HẠN"),"")</f>
      </c>
      <c r="K185" s="4"/>
    </row>
    <row r="186">
      <c r="A186" t="inlineStr">
        <is>
          <t xml:space="preserve">a1_travel_001</t>
        </is>
      </c>
      <c r="B186">
        <f>IFERROR(VLOOKUP($A186,VOCAB!$A$2:$L$1500,5,FALSE),"")</f>
      </c>
      <c r="C186">
        <f>IFERROR(VLOOKUP($A186,VOCAB!$A$2:$L$1500,6,FALSE),"")</f>
      </c>
      <c r="D186">
        <f>IFERROR(VLOOKUP($A186,VOCAB!$A$2:$L$1500,8,FALSE),"")</f>
      </c>
      <c r="E186" s="4"/>
      <c r="F186" s="4"/>
      <c r="G186" s="4"/>
      <c r="H186">
        <f>IF($G186="","",$G186+IF($E186=0,1,IF($E186=1,1,IF($E186=2,2,IF($E186=3,4,IF($E186=4,7,14))))))</f>
      </c>
      <c r="I186">
        <f>IF($G186="","Mới",IF($H186&lt;=TODAY(),"ĐẾN HẠN","Lịch"))</f>
      </c>
      <c r="J186">
        <f>IF($I186="ĐẾN HẠN",COUNTIF($I$2:$I186,"ĐẾN HẠN"),"")</f>
      </c>
      <c r="K186" s="4"/>
    </row>
    <row r="187">
      <c r="A187" t="inlineStr">
        <is>
          <t xml:space="preserve">a1_travel_002</t>
        </is>
      </c>
      <c r="B187">
        <f>IFERROR(VLOOKUP($A187,VOCAB!$A$2:$L$1500,5,FALSE),"")</f>
      </c>
      <c r="C187">
        <f>IFERROR(VLOOKUP($A187,VOCAB!$A$2:$L$1500,6,FALSE),"")</f>
      </c>
      <c r="D187">
        <f>IFERROR(VLOOKUP($A187,VOCAB!$A$2:$L$1500,8,FALSE),"")</f>
      </c>
      <c r="E187" s="4"/>
      <c r="F187" s="4"/>
      <c r="G187" s="4"/>
      <c r="H187">
        <f>IF($G187="","",$G187+IF($E187=0,1,IF($E187=1,1,IF($E187=2,2,IF($E187=3,4,IF($E187=4,7,14))))))</f>
      </c>
      <c r="I187">
        <f>IF($G187="","Mới",IF($H187&lt;=TODAY(),"ĐẾN HẠN","Lịch"))</f>
      </c>
      <c r="J187">
        <f>IF($I187="ĐẾN HẠN",COUNTIF($I$2:$I187,"ĐẾN HẠN"),"")</f>
      </c>
      <c r="K187" s="4"/>
    </row>
    <row r="188">
      <c r="A188" t="inlineStr">
        <is>
          <t xml:space="preserve">a1_travel_003</t>
        </is>
      </c>
      <c r="B188">
        <f>IFERROR(VLOOKUP($A188,VOCAB!$A$2:$L$1500,5,FALSE),"")</f>
      </c>
      <c r="C188">
        <f>IFERROR(VLOOKUP($A188,VOCAB!$A$2:$L$1500,6,FALSE),"")</f>
      </c>
      <c r="D188">
        <f>IFERROR(VLOOKUP($A188,VOCAB!$A$2:$L$1500,8,FALSE),"")</f>
      </c>
      <c r="E188" s="4"/>
      <c r="F188" s="4"/>
      <c r="G188" s="4"/>
      <c r="H188">
        <f>IF($G188="","",$G188+IF($E188=0,1,IF($E188=1,1,IF($E188=2,2,IF($E188=3,4,IF($E188=4,7,14))))))</f>
      </c>
      <c r="I188">
        <f>IF($G188="","Mới",IF($H188&lt;=TODAY(),"ĐẾN HẠN","Lịch"))</f>
      </c>
      <c r="J188">
        <f>IF($I188="ĐẾN HẠN",COUNTIF($I$2:$I188,"ĐẾN HẠN"),"")</f>
      </c>
      <c r="K188" s="4"/>
    </row>
    <row r="189">
      <c r="A189" t="inlineStr">
        <is>
          <t xml:space="preserve">a1_travel_004</t>
        </is>
      </c>
      <c r="B189">
        <f>IFERROR(VLOOKUP($A189,VOCAB!$A$2:$L$1500,5,FALSE),"")</f>
      </c>
      <c r="C189">
        <f>IFERROR(VLOOKUP($A189,VOCAB!$A$2:$L$1500,6,FALSE),"")</f>
      </c>
      <c r="D189">
        <f>IFERROR(VLOOKUP($A189,VOCAB!$A$2:$L$1500,8,FALSE),"")</f>
      </c>
      <c r="E189" s="4"/>
      <c r="F189" s="4"/>
      <c r="G189" s="4"/>
      <c r="H189">
        <f>IF($G189="","",$G189+IF($E189=0,1,IF($E189=1,1,IF($E189=2,2,IF($E189=3,4,IF($E189=4,7,14))))))</f>
      </c>
      <c r="I189">
        <f>IF($G189="","Mới",IF($H189&lt;=TODAY(),"ĐẾN HẠN","Lịch"))</f>
      </c>
      <c r="J189">
        <f>IF($I189="ĐẾN HẠN",COUNTIF($I$2:$I189,"ĐẾN HẠN"),"")</f>
      </c>
      <c r="K189" s="4"/>
    </row>
    <row r="190">
      <c r="A190" t="inlineStr">
        <is>
          <t xml:space="preserve">a1_travel_005</t>
        </is>
      </c>
      <c r="B190">
        <f>IFERROR(VLOOKUP($A190,VOCAB!$A$2:$L$1500,5,FALSE),"")</f>
      </c>
      <c r="C190">
        <f>IFERROR(VLOOKUP($A190,VOCAB!$A$2:$L$1500,6,FALSE),"")</f>
      </c>
      <c r="D190">
        <f>IFERROR(VLOOKUP($A190,VOCAB!$A$2:$L$1500,8,FALSE),"")</f>
      </c>
      <c r="E190" s="4"/>
      <c r="F190" s="4"/>
      <c r="G190" s="4"/>
      <c r="H190">
        <f>IF($G190="","",$G190+IF($E190=0,1,IF($E190=1,1,IF($E190=2,2,IF($E190=3,4,IF($E190=4,7,14))))))</f>
      </c>
      <c r="I190">
        <f>IF($G190="","Mới",IF($H190&lt;=TODAY(),"ĐẾN HẠN","Lịch"))</f>
      </c>
      <c r="J190">
        <f>IF($I190="ĐẾN HẠN",COUNTIF($I$2:$I190,"ĐẾN HẠN"),"")</f>
      </c>
      <c r="K190" s="4"/>
    </row>
    <row r="191">
      <c r="A191" t="inlineStr">
        <is>
          <t xml:space="preserve">a1_travel_006</t>
        </is>
      </c>
      <c r="B191">
        <f>IFERROR(VLOOKUP($A191,VOCAB!$A$2:$L$1500,5,FALSE),"")</f>
      </c>
      <c r="C191">
        <f>IFERROR(VLOOKUP($A191,VOCAB!$A$2:$L$1500,6,FALSE),"")</f>
      </c>
      <c r="D191">
        <f>IFERROR(VLOOKUP($A191,VOCAB!$A$2:$L$1500,8,FALSE),"")</f>
      </c>
      <c r="E191" s="4"/>
      <c r="F191" s="4"/>
      <c r="G191" s="4"/>
      <c r="H191">
        <f>IF($G191="","",$G191+IF($E191=0,1,IF($E191=1,1,IF($E191=2,2,IF($E191=3,4,IF($E191=4,7,14))))))</f>
      </c>
      <c r="I191">
        <f>IF($G191="","Mới",IF($H191&lt;=TODAY(),"ĐẾN HẠN","Lịch"))</f>
      </c>
      <c r="J191">
        <f>IF($I191="ĐẾN HẠN",COUNTIF($I$2:$I191,"ĐẾN HẠN"),"")</f>
      </c>
      <c r="K191" s="4"/>
    </row>
    <row r="192">
      <c r="A192" t="inlineStr">
        <is>
          <t xml:space="preserve">a1_travel_007</t>
        </is>
      </c>
      <c r="B192">
        <f>IFERROR(VLOOKUP($A192,VOCAB!$A$2:$L$1500,5,FALSE),"")</f>
      </c>
      <c r="C192">
        <f>IFERROR(VLOOKUP($A192,VOCAB!$A$2:$L$1500,6,FALSE),"")</f>
      </c>
      <c r="D192">
        <f>IFERROR(VLOOKUP($A192,VOCAB!$A$2:$L$1500,8,FALSE),"")</f>
      </c>
      <c r="E192" s="4"/>
      <c r="F192" s="4"/>
      <c r="G192" s="4"/>
      <c r="H192">
        <f>IF($G192="","",$G192+IF($E192=0,1,IF($E192=1,1,IF($E192=2,2,IF($E192=3,4,IF($E192=4,7,14))))))</f>
      </c>
      <c r="I192">
        <f>IF($G192="","Mới",IF($H192&lt;=TODAY(),"ĐẾN HẠN","Lịch"))</f>
      </c>
      <c r="J192">
        <f>IF($I192="ĐẾN HẠN",COUNTIF($I$2:$I192,"ĐẾN HẠN"),"")</f>
      </c>
      <c r="K192" s="4"/>
    </row>
    <row r="193">
      <c r="A193" t="inlineStr">
        <is>
          <t xml:space="preserve">a1_travel_008</t>
        </is>
      </c>
      <c r="B193">
        <f>IFERROR(VLOOKUP($A193,VOCAB!$A$2:$L$1500,5,FALSE),"")</f>
      </c>
      <c r="C193">
        <f>IFERROR(VLOOKUP($A193,VOCAB!$A$2:$L$1500,6,FALSE),"")</f>
      </c>
      <c r="D193">
        <f>IFERROR(VLOOKUP($A193,VOCAB!$A$2:$L$1500,8,FALSE),"")</f>
      </c>
      <c r="E193" s="4"/>
      <c r="F193" s="4"/>
      <c r="G193" s="4"/>
      <c r="H193">
        <f>IF($G193="","",$G193+IF($E193=0,1,IF($E193=1,1,IF($E193=2,2,IF($E193=3,4,IF($E193=4,7,14))))))</f>
      </c>
      <c r="I193">
        <f>IF($G193="","Mới",IF($H193&lt;=TODAY(),"ĐẾN HẠN","Lịch"))</f>
      </c>
      <c r="J193">
        <f>IF($I193="ĐẾN HẠN",COUNTIF($I$2:$I193,"ĐẾN HẠN"),"")</f>
      </c>
      <c r="K193" s="4"/>
    </row>
    <row r="194">
      <c r="A194" t="inlineStr">
        <is>
          <t xml:space="preserve">a1_travel_009</t>
        </is>
      </c>
      <c r="B194">
        <f>IFERROR(VLOOKUP($A194,VOCAB!$A$2:$L$1500,5,FALSE),"")</f>
      </c>
      <c r="C194">
        <f>IFERROR(VLOOKUP($A194,VOCAB!$A$2:$L$1500,6,FALSE),"")</f>
      </c>
      <c r="D194">
        <f>IFERROR(VLOOKUP($A194,VOCAB!$A$2:$L$1500,8,FALSE),"")</f>
      </c>
      <c r="E194" s="4"/>
      <c r="F194" s="4"/>
      <c r="G194" s="4"/>
      <c r="H194">
        <f>IF($G194="","",$G194+IF($E194=0,1,IF($E194=1,1,IF($E194=2,2,IF($E194=3,4,IF($E194=4,7,14))))))</f>
      </c>
      <c r="I194">
        <f>IF($G194="","Mới",IF($H194&lt;=TODAY(),"ĐẾN HẠN","Lịch"))</f>
      </c>
      <c r="J194">
        <f>IF($I194="ĐẾN HẠN",COUNTIF($I$2:$I194,"ĐẾN HẠN"),"")</f>
      </c>
      <c r="K194" s="4"/>
    </row>
    <row r="195">
      <c r="A195" t="inlineStr">
        <is>
          <t xml:space="preserve">a1_travel_010</t>
        </is>
      </c>
      <c r="B195">
        <f>IFERROR(VLOOKUP($A195,VOCAB!$A$2:$L$1500,5,FALSE),"")</f>
      </c>
      <c r="C195">
        <f>IFERROR(VLOOKUP($A195,VOCAB!$A$2:$L$1500,6,FALSE),"")</f>
      </c>
      <c r="D195">
        <f>IFERROR(VLOOKUP($A195,VOCAB!$A$2:$L$1500,8,FALSE),"")</f>
      </c>
      <c r="E195" s="4"/>
      <c r="F195" s="4"/>
      <c r="G195" s="4"/>
      <c r="H195">
        <f>IF($G195="","",$G195+IF($E195=0,1,IF($E195=1,1,IF($E195=2,2,IF($E195=3,4,IF($E195=4,7,14))))))</f>
      </c>
      <c r="I195">
        <f>IF($G195="","Mới",IF($H195&lt;=TODAY(),"ĐẾN HẠN","Lịch"))</f>
      </c>
      <c r="J195">
        <f>IF($I195="ĐẾN HẠN",COUNTIF($I$2:$I195,"ĐẾN HẠN"),"")</f>
      </c>
      <c r="K195" s="4"/>
    </row>
    <row r="196">
      <c r="A196" t="inlineStr">
        <is>
          <t xml:space="preserve">a1_travel_011</t>
        </is>
      </c>
      <c r="B196">
        <f>IFERROR(VLOOKUP($A196,VOCAB!$A$2:$L$1500,5,FALSE),"")</f>
      </c>
      <c r="C196">
        <f>IFERROR(VLOOKUP($A196,VOCAB!$A$2:$L$1500,6,FALSE),"")</f>
      </c>
      <c r="D196">
        <f>IFERROR(VLOOKUP($A196,VOCAB!$A$2:$L$1500,8,FALSE),"")</f>
      </c>
      <c r="E196" s="4"/>
      <c r="F196" s="4"/>
      <c r="G196" s="4"/>
      <c r="H196">
        <f>IF($G196="","",$G196+IF($E196=0,1,IF($E196=1,1,IF($E196=2,2,IF($E196=3,4,IF($E196=4,7,14))))))</f>
      </c>
      <c r="I196">
        <f>IF($G196="","Mới",IF($H196&lt;=TODAY(),"ĐẾN HẠN","Lịch"))</f>
      </c>
      <c r="J196">
        <f>IF($I196="ĐẾN HẠN",COUNTIF($I$2:$I196,"ĐẾN HẠN"),"")</f>
      </c>
      <c r="K196" s="4"/>
    </row>
    <row r="197">
      <c r="A197" t="inlineStr">
        <is>
          <t xml:space="preserve">a1_travel_012</t>
        </is>
      </c>
      <c r="B197">
        <f>IFERROR(VLOOKUP($A197,VOCAB!$A$2:$L$1500,5,FALSE),"")</f>
      </c>
      <c r="C197">
        <f>IFERROR(VLOOKUP($A197,VOCAB!$A$2:$L$1500,6,FALSE),"")</f>
      </c>
      <c r="D197">
        <f>IFERROR(VLOOKUP($A197,VOCAB!$A$2:$L$1500,8,FALSE),"")</f>
      </c>
      <c r="E197" s="4"/>
      <c r="F197" s="4"/>
      <c r="G197" s="4"/>
      <c r="H197">
        <f>IF($G197="","",$G197+IF($E197=0,1,IF($E197=1,1,IF($E197=2,2,IF($E197=3,4,IF($E197=4,7,14))))))</f>
      </c>
      <c r="I197">
        <f>IF($G197="","Mới",IF($H197&lt;=TODAY(),"ĐẾN HẠN","Lịch"))</f>
      </c>
      <c r="J197">
        <f>IF($I197="ĐẾN HẠN",COUNTIF($I$2:$I197,"ĐẾN HẠN"),"")</f>
      </c>
      <c r="K197" s="4"/>
    </row>
    <row r="198">
      <c r="A198" t="inlineStr">
        <is>
          <t xml:space="preserve">cur_v011</t>
        </is>
      </c>
      <c r="B198">
        <f>IFERROR(VLOOKUP($A198,VOCAB!$A$2:$L$1500,5,FALSE),"")</f>
      </c>
      <c r="C198">
        <f>IFERROR(VLOOKUP($A198,VOCAB!$A$2:$L$1500,6,FALSE),"")</f>
      </c>
      <c r="D198">
        <f>IFERROR(VLOOKUP($A198,VOCAB!$A$2:$L$1500,8,FALSE),"")</f>
      </c>
      <c r="E198" s="4"/>
      <c r="F198" s="4"/>
      <c r="G198" s="4"/>
      <c r="H198">
        <f>IF($G198="","",$G198+IF($E198=0,1,IF($E198=1,1,IF($E198=2,2,IF($E198=3,4,IF($E198=4,7,14))))))</f>
      </c>
      <c r="I198">
        <f>IF($G198="","Mới",IF($H198&lt;=TODAY(),"ĐẾN HẠN","Lịch"))</f>
      </c>
      <c r="J198">
        <f>IF($I198="ĐẾN HẠN",COUNTIF($I$2:$I198,"ĐẾN HẠN"),"")</f>
      </c>
      <c r="K198" s="4"/>
    </row>
    <row r="199">
      <c r="A199" t="inlineStr">
        <is>
          <t xml:space="preserve">cur_v012</t>
        </is>
      </c>
      <c r="B199">
        <f>IFERROR(VLOOKUP($A199,VOCAB!$A$2:$L$1500,5,FALSE),"")</f>
      </c>
      <c r="C199">
        <f>IFERROR(VLOOKUP($A199,VOCAB!$A$2:$L$1500,6,FALSE),"")</f>
      </c>
      <c r="D199">
        <f>IFERROR(VLOOKUP($A199,VOCAB!$A$2:$L$1500,8,FALSE),"")</f>
      </c>
      <c r="E199" s="4"/>
      <c r="F199" s="4"/>
      <c r="G199" s="4"/>
      <c r="H199">
        <f>IF($G199="","",$G199+IF($E199=0,1,IF($E199=1,1,IF($E199=2,2,IF($E199=3,4,IF($E199=4,7,14))))))</f>
      </c>
      <c r="I199">
        <f>IF($G199="","Mới",IF($H199&lt;=TODAY(),"ĐẾN HẠN","Lịch"))</f>
      </c>
      <c r="J199">
        <f>IF($I199="ĐẾN HẠN",COUNTIF($I$2:$I199,"ĐẾN HẠN"),"")</f>
      </c>
      <c r="K199" s="4"/>
    </row>
    <row r="200">
      <c r="A200" t="inlineStr">
        <is>
          <t xml:space="preserve">a2_act_001</t>
        </is>
      </c>
      <c r="B200">
        <f>IFERROR(VLOOKUP($A200,VOCAB!$A$2:$L$1500,5,FALSE),"")</f>
      </c>
      <c r="C200">
        <f>IFERROR(VLOOKUP($A200,VOCAB!$A$2:$L$1500,6,FALSE),"")</f>
      </c>
      <c r="D200">
        <f>IFERROR(VLOOKUP($A200,VOCAB!$A$2:$L$1500,8,FALSE),"")</f>
      </c>
      <c r="E200" s="4"/>
      <c r="F200" s="4"/>
      <c r="G200" s="4"/>
      <c r="H200">
        <f>IF($G200="","",$G200+IF($E200=0,1,IF($E200=1,1,IF($E200=2,2,IF($E200=3,4,IF($E200=4,7,14))))))</f>
      </c>
      <c r="I200">
        <f>IF($G200="","Mới",IF($H200&lt;=TODAY(),"ĐẾN HẠN","Lịch"))</f>
      </c>
      <c r="J200">
        <f>IF($I200="ĐẾN HẠN",COUNTIF($I$2:$I200,"ĐẾN HẠN"),"")</f>
      </c>
      <c r="K200" s="4"/>
    </row>
    <row r="201">
      <c r="A201" t="inlineStr">
        <is>
          <t xml:space="preserve">a2_act_002</t>
        </is>
      </c>
      <c r="B201">
        <f>IFERROR(VLOOKUP($A201,VOCAB!$A$2:$L$1500,5,FALSE),"")</f>
      </c>
      <c r="C201">
        <f>IFERROR(VLOOKUP($A201,VOCAB!$A$2:$L$1500,6,FALSE),"")</f>
      </c>
      <c r="D201">
        <f>IFERROR(VLOOKUP($A201,VOCAB!$A$2:$L$1500,8,FALSE),"")</f>
      </c>
      <c r="E201" s="4"/>
      <c r="F201" s="4"/>
      <c r="G201" s="4"/>
      <c r="H201">
        <f>IF($G201="","",$G201+IF($E201=0,1,IF($E201=1,1,IF($E201=2,2,IF($E201=3,4,IF($E201=4,7,14))))))</f>
      </c>
      <c r="I201">
        <f>IF($G201="","Mới",IF($H201&lt;=TODAY(),"ĐẾN HẠN","Lịch"))</f>
      </c>
      <c r="J201">
        <f>IF($I201="ĐẾN HẠN",COUNTIF($I$2:$I201,"ĐẾN HẠN"),"")</f>
      </c>
      <c r="K201" s="4"/>
    </row>
    <row r="202">
      <c r="A202" t="inlineStr">
        <is>
          <t xml:space="preserve">a2_act_003</t>
        </is>
      </c>
      <c r="B202">
        <f>IFERROR(VLOOKUP($A202,VOCAB!$A$2:$L$1500,5,FALSE),"")</f>
      </c>
      <c r="C202">
        <f>IFERROR(VLOOKUP($A202,VOCAB!$A$2:$L$1500,6,FALSE),"")</f>
      </c>
      <c r="D202">
        <f>IFERROR(VLOOKUP($A202,VOCAB!$A$2:$L$1500,8,FALSE),"")</f>
      </c>
      <c r="E202" s="4"/>
      <c r="F202" s="4"/>
      <c r="G202" s="4"/>
      <c r="H202">
        <f>IF($G202="","",$G202+IF($E202=0,1,IF($E202=1,1,IF($E202=2,2,IF($E202=3,4,IF($E202=4,7,14))))))</f>
      </c>
      <c r="I202">
        <f>IF($G202="","Mới",IF($H202&lt;=TODAY(),"ĐẾN HẠN","Lịch"))</f>
      </c>
      <c r="J202">
        <f>IF($I202="ĐẾN HẠN",COUNTIF($I$2:$I202,"ĐẾN HẠN"),"")</f>
      </c>
      <c r="K202" s="4"/>
    </row>
    <row r="203">
      <c r="A203" t="inlineStr">
        <is>
          <t xml:space="preserve">a2_act_004</t>
        </is>
      </c>
      <c r="B203">
        <f>IFERROR(VLOOKUP($A203,VOCAB!$A$2:$L$1500,5,FALSE),"")</f>
      </c>
      <c r="C203">
        <f>IFERROR(VLOOKUP($A203,VOCAB!$A$2:$L$1500,6,FALSE),"")</f>
      </c>
      <c r="D203">
        <f>IFERROR(VLOOKUP($A203,VOCAB!$A$2:$L$1500,8,FALSE),"")</f>
      </c>
      <c r="E203" s="4"/>
      <c r="F203" s="4"/>
      <c r="G203" s="4"/>
      <c r="H203">
        <f>IF($G203="","",$G203+IF($E203=0,1,IF($E203=1,1,IF($E203=2,2,IF($E203=3,4,IF($E203=4,7,14))))))</f>
      </c>
      <c r="I203">
        <f>IF($G203="","Mới",IF($H203&lt;=TODAY(),"ĐẾN HẠN","Lịch"))</f>
      </c>
      <c r="J203">
        <f>IF($I203="ĐẾN HẠN",COUNTIF($I$2:$I203,"ĐẾN HẠN"),"")</f>
      </c>
      <c r="K203" s="4"/>
    </row>
    <row r="204">
      <c r="A204" t="inlineStr">
        <is>
          <t xml:space="preserve">a2_act_005</t>
        </is>
      </c>
      <c r="B204">
        <f>IFERROR(VLOOKUP($A204,VOCAB!$A$2:$L$1500,5,FALSE),"")</f>
      </c>
      <c r="C204">
        <f>IFERROR(VLOOKUP($A204,VOCAB!$A$2:$L$1500,6,FALSE),"")</f>
      </c>
      <c r="D204">
        <f>IFERROR(VLOOKUP($A204,VOCAB!$A$2:$L$1500,8,FALSE),"")</f>
      </c>
      <c r="E204" s="4"/>
      <c r="F204" s="4"/>
      <c r="G204" s="4"/>
      <c r="H204">
        <f>IF($G204="","",$G204+IF($E204=0,1,IF($E204=1,1,IF($E204=2,2,IF($E204=3,4,IF($E204=4,7,14))))))</f>
      </c>
      <c r="I204">
        <f>IF($G204="","Mới",IF($H204&lt;=TODAY(),"ĐẾN HẠN","Lịch"))</f>
      </c>
      <c r="J204">
        <f>IF($I204="ĐẾN HẠN",COUNTIF($I$2:$I204,"ĐẾN HẠN"),"")</f>
      </c>
      <c r="K204" s="4"/>
    </row>
    <row r="205">
      <c r="A205" t="inlineStr">
        <is>
          <t xml:space="preserve">a2_act_006</t>
        </is>
      </c>
      <c r="B205">
        <f>IFERROR(VLOOKUP($A205,VOCAB!$A$2:$L$1500,5,FALSE),"")</f>
      </c>
      <c r="C205">
        <f>IFERROR(VLOOKUP($A205,VOCAB!$A$2:$L$1500,6,FALSE),"")</f>
      </c>
      <c r="D205">
        <f>IFERROR(VLOOKUP($A205,VOCAB!$A$2:$L$1500,8,FALSE),"")</f>
      </c>
      <c r="E205" s="4"/>
      <c r="F205" s="4"/>
      <c r="G205" s="4"/>
      <c r="H205">
        <f>IF($G205="","",$G205+IF($E205=0,1,IF($E205=1,1,IF($E205=2,2,IF($E205=3,4,IF($E205=4,7,14))))))</f>
      </c>
      <c r="I205">
        <f>IF($G205="","Mới",IF($H205&lt;=TODAY(),"ĐẾN HẠN","Lịch"))</f>
      </c>
      <c r="J205">
        <f>IF($I205="ĐẾN HẠN",COUNTIF($I$2:$I205,"ĐẾN HẠN"),"")</f>
      </c>
      <c r="K205" s="4"/>
    </row>
    <row r="206">
      <c r="A206" t="inlineStr">
        <is>
          <t xml:space="preserve">a2_act_007</t>
        </is>
      </c>
      <c r="B206">
        <f>IFERROR(VLOOKUP($A206,VOCAB!$A$2:$L$1500,5,FALSE),"")</f>
      </c>
      <c r="C206">
        <f>IFERROR(VLOOKUP($A206,VOCAB!$A$2:$L$1500,6,FALSE),"")</f>
      </c>
      <c r="D206">
        <f>IFERROR(VLOOKUP($A206,VOCAB!$A$2:$L$1500,8,FALSE),"")</f>
      </c>
      <c r="E206" s="4"/>
      <c r="F206" s="4"/>
      <c r="G206" s="4"/>
      <c r="H206">
        <f>IF($G206="","",$G206+IF($E206=0,1,IF($E206=1,1,IF($E206=2,2,IF($E206=3,4,IF($E206=4,7,14))))))</f>
      </c>
      <c r="I206">
        <f>IF($G206="","Mới",IF($H206&lt;=TODAY(),"ĐẾN HẠN","Lịch"))</f>
      </c>
      <c r="J206">
        <f>IF($I206="ĐẾN HẠN",COUNTIF($I$2:$I206,"ĐẾN HẠN"),"")</f>
      </c>
      <c r="K206" s="4"/>
    </row>
    <row r="207">
      <c r="A207" t="inlineStr">
        <is>
          <t xml:space="preserve">a2_act_008</t>
        </is>
      </c>
      <c r="B207">
        <f>IFERROR(VLOOKUP($A207,VOCAB!$A$2:$L$1500,5,FALSE),"")</f>
      </c>
      <c r="C207">
        <f>IFERROR(VLOOKUP($A207,VOCAB!$A$2:$L$1500,6,FALSE),"")</f>
      </c>
      <c r="D207">
        <f>IFERROR(VLOOKUP($A207,VOCAB!$A$2:$L$1500,8,FALSE),"")</f>
      </c>
      <c r="E207" s="4"/>
      <c r="F207" s="4"/>
      <c r="G207" s="4"/>
      <c r="H207">
        <f>IF($G207="","",$G207+IF($E207=0,1,IF($E207=1,1,IF($E207=2,2,IF($E207=3,4,IF($E207=4,7,14))))))</f>
      </c>
      <c r="I207">
        <f>IF($G207="","Mới",IF($H207&lt;=TODAY(),"ĐẾN HẠN","Lịch"))</f>
      </c>
      <c r="J207">
        <f>IF($I207="ĐẾN HẠN",COUNTIF($I$2:$I207,"ĐẾN HẠN"),"")</f>
      </c>
      <c r="K207" s="4"/>
    </row>
    <row r="208">
      <c r="A208" t="inlineStr">
        <is>
          <t xml:space="preserve">a2_act_009</t>
        </is>
      </c>
      <c r="B208">
        <f>IFERROR(VLOOKUP($A208,VOCAB!$A$2:$L$1500,5,FALSE),"")</f>
      </c>
      <c r="C208">
        <f>IFERROR(VLOOKUP($A208,VOCAB!$A$2:$L$1500,6,FALSE),"")</f>
      </c>
      <c r="D208">
        <f>IFERROR(VLOOKUP($A208,VOCAB!$A$2:$L$1500,8,FALSE),"")</f>
      </c>
      <c r="E208" s="4"/>
      <c r="F208" s="4"/>
      <c r="G208" s="4"/>
      <c r="H208">
        <f>IF($G208="","",$G208+IF($E208=0,1,IF($E208=1,1,IF($E208=2,2,IF($E208=3,4,IF($E208=4,7,14))))))</f>
      </c>
      <c r="I208">
        <f>IF($G208="","Mới",IF($H208&lt;=TODAY(),"ĐẾN HẠN","Lịch"))</f>
      </c>
      <c r="J208">
        <f>IF($I208="ĐẾN HẠN",COUNTIF($I$2:$I208,"ĐẾN HẠN"),"")</f>
      </c>
      <c r="K208" s="4"/>
    </row>
    <row r="209">
      <c r="A209" t="inlineStr">
        <is>
          <t xml:space="preserve">a2_act_010</t>
        </is>
      </c>
      <c r="B209">
        <f>IFERROR(VLOOKUP($A209,VOCAB!$A$2:$L$1500,5,FALSE),"")</f>
      </c>
      <c r="C209">
        <f>IFERROR(VLOOKUP($A209,VOCAB!$A$2:$L$1500,6,FALSE),"")</f>
      </c>
      <c r="D209">
        <f>IFERROR(VLOOKUP($A209,VOCAB!$A$2:$L$1500,8,FALSE),"")</f>
      </c>
      <c r="E209" s="4"/>
      <c r="F209" s="4"/>
      <c r="G209" s="4"/>
      <c r="H209">
        <f>IF($G209="","",$G209+IF($E209=0,1,IF($E209=1,1,IF($E209=2,2,IF($E209=3,4,IF($E209=4,7,14))))))</f>
      </c>
      <c r="I209">
        <f>IF($G209="","Mới",IF($H209&lt;=TODAY(),"ĐẾN HẠN","Lịch"))</f>
      </c>
      <c r="J209">
        <f>IF($I209="ĐẾN HẠN",COUNTIF($I$2:$I209,"ĐẾN HẠN"),"")</f>
      </c>
      <c r="K209" s="4"/>
    </row>
    <row r="210">
      <c r="A210" t="inlineStr">
        <is>
          <t xml:space="preserve">a2_act_011</t>
        </is>
      </c>
      <c r="B210">
        <f>IFERROR(VLOOKUP($A210,VOCAB!$A$2:$L$1500,5,FALSE),"")</f>
      </c>
      <c r="C210">
        <f>IFERROR(VLOOKUP($A210,VOCAB!$A$2:$L$1500,6,FALSE),"")</f>
      </c>
      <c r="D210">
        <f>IFERROR(VLOOKUP($A210,VOCAB!$A$2:$L$1500,8,FALSE),"")</f>
      </c>
      <c r="E210" s="4"/>
      <c r="F210" s="4"/>
      <c r="G210" s="4"/>
      <c r="H210">
        <f>IF($G210="","",$G210+IF($E210=0,1,IF($E210=1,1,IF($E210=2,2,IF($E210=3,4,IF($E210=4,7,14))))))</f>
      </c>
      <c r="I210">
        <f>IF($G210="","Mới",IF($H210&lt;=TODAY(),"ĐẾN HẠN","Lịch"))</f>
      </c>
      <c r="J210">
        <f>IF($I210="ĐẾN HẠN",COUNTIF($I$2:$I210,"ĐẾN HẠN"),"")</f>
      </c>
      <c r="K210" s="4"/>
    </row>
    <row r="211">
      <c r="A211" t="inlineStr">
        <is>
          <t xml:space="preserve">a2_act_012</t>
        </is>
      </c>
      <c r="B211">
        <f>IFERROR(VLOOKUP($A211,VOCAB!$A$2:$L$1500,5,FALSE),"")</f>
      </c>
      <c r="C211">
        <f>IFERROR(VLOOKUP($A211,VOCAB!$A$2:$L$1500,6,FALSE),"")</f>
      </c>
      <c r="D211">
        <f>IFERROR(VLOOKUP($A211,VOCAB!$A$2:$L$1500,8,FALSE),"")</f>
      </c>
      <c r="E211" s="4"/>
      <c r="F211" s="4"/>
      <c r="G211" s="4"/>
      <c r="H211">
        <f>IF($G211="","",$G211+IF($E211=0,1,IF($E211=1,1,IF($E211=2,2,IF($E211=3,4,IF($E211=4,7,14))))))</f>
      </c>
      <c r="I211">
        <f>IF($G211="","Mới",IF($H211&lt;=TODAY(),"ĐẾN HẠN","Lịch"))</f>
      </c>
      <c r="J211">
        <f>IF($I211="ĐẾN HẠN",COUNTIF($I$2:$I211,"ĐẾN HẠN"),"")</f>
      </c>
      <c r="K211" s="4"/>
    </row>
    <row r="212">
      <c r="A212" t="inlineStr">
        <is>
          <t xml:space="preserve">a2_desc_001</t>
        </is>
      </c>
      <c r="B212">
        <f>IFERROR(VLOOKUP($A212,VOCAB!$A$2:$L$1500,5,FALSE),"")</f>
      </c>
      <c r="C212">
        <f>IFERROR(VLOOKUP($A212,VOCAB!$A$2:$L$1500,6,FALSE),"")</f>
      </c>
      <c r="D212">
        <f>IFERROR(VLOOKUP($A212,VOCAB!$A$2:$L$1500,8,FALSE),"")</f>
      </c>
      <c r="E212" s="4"/>
      <c r="F212" s="4"/>
      <c r="G212" s="4"/>
      <c r="H212">
        <f>IF($G212="","",$G212+IF($E212=0,1,IF($E212=1,1,IF($E212=2,2,IF($E212=3,4,IF($E212=4,7,14))))))</f>
      </c>
      <c r="I212">
        <f>IF($G212="","Mới",IF($H212&lt;=TODAY(),"ĐẾN HẠN","Lịch"))</f>
      </c>
      <c r="J212">
        <f>IF($I212="ĐẾN HẠN",COUNTIF($I$2:$I212,"ĐẾN HẠN"),"")</f>
      </c>
      <c r="K212" s="4"/>
    </row>
    <row r="213">
      <c r="A213" t="inlineStr">
        <is>
          <t xml:space="preserve">a2_desc_002</t>
        </is>
      </c>
      <c r="B213">
        <f>IFERROR(VLOOKUP($A213,VOCAB!$A$2:$L$1500,5,FALSE),"")</f>
      </c>
      <c r="C213">
        <f>IFERROR(VLOOKUP($A213,VOCAB!$A$2:$L$1500,6,FALSE),"")</f>
      </c>
      <c r="D213">
        <f>IFERROR(VLOOKUP($A213,VOCAB!$A$2:$L$1500,8,FALSE),"")</f>
      </c>
      <c r="E213" s="4"/>
      <c r="F213" s="4"/>
      <c r="G213" s="4"/>
      <c r="H213">
        <f>IF($G213="","",$G213+IF($E213=0,1,IF($E213=1,1,IF($E213=2,2,IF($E213=3,4,IF($E213=4,7,14))))))</f>
      </c>
      <c r="I213">
        <f>IF($G213="","Mới",IF($H213&lt;=TODAY(),"ĐẾN HẠN","Lịch"))</f>
      </c>
      <c r="J213">
        <f>IF($I213="ĐẾN HẠN",COUNTIF($I$2:$I213,"ĐẾN HẠN"),"")</f>
      </c>
      <c r="K213" s="4"/>
    </row>
    <row r="214">
      <c r="A214" t="inlineStr">
        <is>
          <t xml:space="preserve">a2_desc_003</t>
        </is>
      </c>
      <c r="B214">
        <f>IFERROR(VLOOKUP($A214,VOCAB!$A$2:$L$1500,5,FALSE),"")</f>
      </c>
      <c r="C214">
        <f>IFERROR(VLOOKUP($A214,VOCAB!$A$2:$L$1500,6,FALSE),"")</f>
      </c>
      <c r="D214">
        <f>IFERROR(VLOOKUP($A214,VOCAB!$A$2:$L$1500,8,FALSE),"")</f>
      </c>
      <c r="E214" s="4"/>
      <c r="F214" s="4"/>
      <c r="G214" s="4"/>
      <c r="H214">
        <f>IF($G214="","",$G214+IF($E214=0,1,IF($E214=1,1,IF($E214=2,2,IF($E214=3,4,IF($E214=4,7,14))))))</f>
      </c>
      <c r="I214">
        <f>IF($G214="","Mới",IF($H214&lt;=TODAY(),"ĐẾN HẠN","Lịch"))</f>
      </c>
      <c r="J214">
        <f>IF($I214="ĐẾN HẠN",COUNTIF($I$2:$I214,"ĐẾN HẠN"),"")</f>
      </c>
      <c r="K214" s="4"/>
    </row>
    <row r="215">
      <c r="A215" t="inlineStr">
        <is>
          <t xml:space="preserve">a2_desc_004</t>
        </is>
      </c>
      <c r="B215">
        <f>IFERROR(VLOOKUP($A215,VOCAB!$A$2:$L$1500,5,FALSE),"")</f>
      </c>
      <c r="C215">
        <f>IFERROR(VLOOKUP($A215,VOCAB!$A$2:$L$1500,6,FALSE),"")</f>
      </c>
      <c r="D215">
        <f>IFERROR(VLOOKUP($A215,VOCAB!$A$2:$L$1500,8,FALSE),"")</f>
      </c>
      <c r="E215" s="4"/>
      <c r="F215" s="4"/>
      <c r="G215" s="4"/>
      <c r="H215">
        <f>IF($G215="","",$G215+IF($E215=0,1,IF($E215=1,1,IF($E215=2,2,IF($E215=3,4,IF($E215=4,7,14))))))</f>
      </c>
      <c r="I215">
        <f>IF($G215="","Mới",IF($H215&lt;=TODAY(),"ĐẾN HẠN","Lịch"))</f>
      </c>
      <c r="J215">
        <f>IF($I215="ĐẾN HẠN",COUNTIF($I$2:$I215,"ĐẾN HẠN"),"")</f>
      </c>
      <c r="K215" s="4"/>
    </row>
    <row r="216">
      <c r="A216" t="inlineStr">
        <is>
          <t xml:space="preserve">a2_desc_005</t>
        </is>
      </c>
      <c r="B216">
        <f>IFERROR(VLOOKUP($A216,VOCAB!$A$2:$L$1500,5,FALSE),"")</f>
      </c>
      <c r="C216">
        <f>IFERROR(VLOOKUP($A216,VOCAB!$A$2:$L$1500,6,FALSE),"")</f>
      </c>
      <c r="D216">
        <f>IFERROR(VLOOKUP($A216,VOCAB!$A$2:$L$1500,8,FALSE),"")</f>
      </c>
      <c r="E216" s="4"/>
      <c r="F216" s="4"/>
      <c r="G216" s="4"/>
      <c r="H216">
        <f>IF($G216="","",$G216+IF($E216=0,1,IF($E216=1,1,IF($E216=2,2,IF($E216=3,4,IF($E216=4,7,14))))))</f>
      </c>
      <c r="I216">
        <f>IF($G216="","Mới",IF($H216&lt;=TODAY(),"ĐẾN HẠN","Lịch"))</f>
      </c>
      <c r="J216">
        <f>IF($I216="ĐẾN HẠN",COUNTIF($I$2:$I216,"ĐẾN HẠN"),"")</f>
      </c>
      <c r="K216" s="4"/>
    </row>
    <row r="217">
      <c r="A217" t="inlineStr">
        <is>
          <t xml:space="preserve">a2_desc_006</t>
        </is>
      </c>
      <c r="B217">
        <f>IFERROR(VLOOKUP($A217,VOCAB!$A$2:$L$1500,5,FALSE),"")</f>
      </c>
      <c r="C217">
        <f>IFERROR(VLOOKUP($A217,VOCAB!$A$2:$L$1500,6,FALSE),"")</f>
      </c>
      <c r="D217">
        <f>IFERROR(VLOOKUP($A217,VOCAB!$A$2:$L$1500,8,FALSE),"")</f>
      </c>
      <c r="E217" s="4"/>
      <c r="F217" s="4"/>
      <c r="G217" s="4"/>
      <c r="H217">
        <f>IF($G217="","",$G217+IF($E217=0,1,IF($E217=1,1,IF($E217=2,2,IF($E217=3,4,IF($E217=4,7,14))))))</f>
      </c>
      <c r="I217">
        <f>IF($G217="","Mới",IF($H217&lt;=TODAY(),"ĐẾN HẠN","Lịch"))</f>
      </c>
      <c r="J217">
        <f>IF($I217="ĐẾN HẠN",COUNTIF($I$2:$I217,"ĐẾN HẠN"),"")</f>
      </c>
      <c r="K217" s="4"/>
    </row>
    <row r="218">
      <c r="A218" t="inlineStr">
        <is>
          <t xml:space="preserve">a2_desc_007</t>
        </is>
      </c>
      <c r="B218">
        <f>IFERROR(VLOOKUP($A218,VOCAB!$A$2:$L$1500,5,FALSE),"")</f>
      </c>
      <c r="C218">
        <f>IFERROR(VLOOKUP($A218,VOCAB!$A$2:$L$1500,6,FALSE),"")</f>
      </c>
      <c r="D218">
        <f>IFERROR(VLOOKUP($A218,VOCAB!$A$2:$L$1500,8,FALSE),"")</f>
      </c>
      <c r="E218" s="4"/>
      <c r="F218" s="4"/>
      <c r="G218" s="4"/>
      <c r="H218">
        <f>IF($G218="","",$G218+IF($E218=0,1,IF($E218=1,1,IF($E218=2,2,IF($E218=3,4,IF($E218=4,7,14))))))</f>
      </c>
      <c r="I218">
        <f>IF($G218="","Mới",IF($H218&lt;=TODAY(),"ĐẾN HẠN","Lịch"))</f>
      </c>
      <c r="J218">
        <f>IF($I218="ĐẾN HẠN",COUNTIF($I$2:$I218,"ĐẾN HẠN"),"")</f>
      </c>
      <c r="K218" s="4"/>
    </row>
    <row r="219">
      <c r="A219" t="inlineStr">
        <is>
          <t xml:space="preserve">a2_desc_008</t>
        </is>
      </c>
      <c r="B219">
        <f>IFERROR(VLOOKUP($A219,VOCAB!$A$2:$L$1500,5,FALSE),"")</f>
      </c>
      <c r="C219">
        <f>IFERROR(VLOOKUP($A219,VOCAB!$A$2:$L$1500,6,FALSE),"")</f>
      </c>
      <c r="D219">
        <f>IFERROR(VLOOKUP($A219,VOCAB!$A$2:$L$1500,8,FALSE),"")</f>
      </c>
      <c r="E219" s="4"/>
      <c r="F219" s="4"/>
      <c r="G219" s="4"/>
      <c r="H219">
        <f>IF($G219="","",$G219+IF($E219=0,1,IF($E219=1,1,IF($E219=2,2,IF($E219=3,4,IF($E219=4,7,14))))))</f>
      </c>
      <c r="I219">
        <f>IF($G219="","Mới",IF($H219&lt;=TODAY(),"ĐẾN HẠN","Lịch"))</f>
      </c>
      <c r="J219">
        <f>IF($I219="ĐẾN HẠN",COUNTIF($I$2:$I219,"ĐẾN HẠN"),"")</f>
      </c>
      <c r="K219" s="4"/>
    </row>
    <row r="220">
      <c r="A220" t="inlineStr">
        <is>
          <t xml:space="preserve">a2_desc_009</t>
        </is>
      </c>
      <c r="B220">
        <f>IFERROR(VLOOKUP($A220,VOCAB!$A$2:$L$1500,5,FALSE),"")</f>
      </c>
      <c r="C220">
        <f>IFERROR(VLOOKUP($A220,VOCAB!$A$2:$L$1500,6,FALSE),"")</f>
      </c>
      <c r="D220">
        <f>IFERROR(VLOOKUP($A220,VOCAB!$A$2:$L$1500,8,FALSE),"")</f>
      </c>
      <c r="E220" s="4"/>
      <c r="F220" s="4"/>
      <c r="G220" s="4"/>
      <c r="H220">
        <f>IF($G220="","",$G220+IF($E220=0,1,IF($E220=1,1,IF($E220=2,2,IF($E220=3,4,IF($E220=4,7,14))))))</f>
      </c>
      <c r="I220">
        <f>IF($G220="","Mới",IF($H220&lt;=TODAY(),"ĐẾN HẠN","Lịch"))</f>
      </c>
      <c r="J220">
        <f>IF($I220="ĐẾN HẠN",COUNTIF($I$2:$I220,"ĐẾN HẠN"),"")</f>
      </c>
      <c r="K220" s="4"/>
    </row>
    <row r="221">
      <c r="A221" t="inlineStr">
        <is>
          <t xml:space="preserve">a2_desc_010</t>
        </is>
      </c>
      <c r="B221">
        <f>IFERROR(VLOOKUP($A221,VOCAB!$A$2:$L$1500,5,FALSE),"")</f>
      </c>
      <c r="C221">
        <f>IFERROR(VLOOKUP($A221,VOCAB!$A$2:$L$1500,6,FALSE),"")</f>
      </c>
      <c r="D221">
        <f>IFERROR(VLOOKUP($A221,VOCAB!$A$2:$L$1500,8,FALSE),"")</f>
      </c>
      <c r="E221" s="4"/>
      <c r="F221" s="4"/>
      <c r="G221" s="4"/>
      <c r="H221">
        <f>IF($G221="","",$G221+IF($E221=0,1,IF($E221=1,1,IF($E221=2,2,IF($E221=3,4,IF($E221=4,7,14))))))</f>
      </c>
      <c r="I221">
        <f>IF($G221="","Mới",IF($H221&lt;=TODAY(),"ĐẾN HẠN","Lịch"))</f>
      </c>
      <c r="J221">
        <f>IF($I221="ĐẾN HẠN",COUNTIF($I$2:$I221,"ĐẾN HẠN"),"")</f>
      </c>
      <c r="K221" s="4"/>
    </row>
    <row r="222">
      <c r="A222" t="inlineStr">
        <is>
          <t xml:space="preserve">a2_desc_011</t>
        </is>
      </c>
      <c r="B222">
        <f>IFERROR(VLOOKUP($A222,VOCAB!$A$2:$L$1500,5,FALSE),"")</f>
      </c>
      <c r="C222">
        <f>IFERROR(VLOOKUP($A222,VOCAB!$A$2:$L$1500,6,FALSE),"")</f>
      </c>
      <c r="D222">
        <f>IFERROR(VLOOKUP($A222,VOCAB!$A$2:$L$1500,8,FALSE),"")</f>
      </c>
      <c r="E222" s="4"/>
      <c r="F222" s="4"/>
      <c r="G222" s="4"/>
      <c r="H222">
        <f>IF($G222="","",$G222+IF($E222=0,1,IF($E222=1,1,IF($E222=2,2,IF($E222=3,4,IF($E222=4,7,14))))))</f>
      </c>
      <c r="I222">
        <f>IF($G222="","Mới",IF($H222&lt;=TODAY(),"ĐẾN HẠN","Lịch"))</f>
      </c>
      <c r="J222">
        <f>IF($I222="ĐẾN HẠN",COUNTIF($I$2:$I222,"ĐẾN HẠN"),"")</f>
      </c>
      <c r="K222" s="4"/>
    </row>
    <row r="223">
      <c r="A223" t="inlineStr">
        <is>
          <t xml:space="preserve">a2_desc_012</t>
        </is>
      </c>
      <c r="B223">
        <f>IFERROR(VLOOKUP($A223,VOCAB!$A$2:$L$1500,5,FALSE),"")</f>
      </c>
      <c r="C223">
        <f>IFERROR(VLOOKUP($A223,VOCAB!$A$2:$L$1500,6,FALSE),"")</f>
      </c>
      <c r="D223">
        <f>IFERROR(VLOOKUP($A223,VOCAB!$A$2:$L$1500,8,FALSE),"")</f>
      </c>
      <c r="E223" s="4"/>
      <c r="F223" s="4"/>
      <c r="G223" s="4"/>
      <c r="H223">
        <f>IF($G223="","",$G223+IF($E223=0,1,IF($E223=1,1,IF($E223=2,2,IF($E223=3,4,IF($E223=4,7,14))))))</f>
      </c>
      <c r="I223">
        <f>IF($G223="","Mới",IF($H223&lt;=TODAY(),"ĐẾN HẠN","Lịch"))</f>
      </c>
      <c r="J223">
        <f>IF($I223="ĐẾN HẠN",COUNTIF($I$2:$I223,"ĐẾN HẠN"),"")</f>
      </c>
      <c r="K223" s="4"/>
    </row>
    <row r="224">
      <c r="A224" t="inlineStr">
        <is>
          <t xml:space="preserve">cur_v013</t>
        </is>
      </c>
      <c r="B224">
        <f>IFERROR(VLOOKUP($A224,VOCAB!$A$2:$L$1500,5,FALSE),"")</f>
      </c>
      <c r="C224">
        <f>IFERROR(VLOOKUP($A224,VOCAB!$A$2:$L$1500,6,FALSE),"")</f>
      </c>
      <c r="D224">
        <f>IFERROR(VLOOKUP($A224,VOCAB!$A$2:$L$1500,8,FALSE),"")</f>
      </c>
      <c r="E224" s="4"/>
      <c r="F224" s="4"/>
      <c r="G224" s="4"/>
      <c r="H224">
        <f>IF($G224="","",$G224+IF($E224=0,1,IF($E224=1,1,IF($E224=2,2,IF($E224=3,4,IF($E224=4,7,14))))))</f>
      </c>
      <c r="I224">
        <f>IF($G224="","Mới",IF($H224&lt;=TODAY(),"ĐẾN HẠN","Lịch"))</f>
      </c>
      <c r="J224">
        <f>IF($I224="ĐẾN HẠN",COUNTIF($I$2:$I224,"ĐẾN HẠN"),"")</f>
      </c>
      <c r="K224" s="4"/>
    </row>
    <row r="225">
      <c r="A225" t="inlineStr">
        <is>
          <t xml:space="preserve">cur_v014</t>
        </is>
      </c>
      <c r="B225">
        <f>IFERROR(VLOOKUP($A225,VOCAB!$A$2:$L$1500,5,FALSE),"")</f>
      </c>
      <c r="C225">
        <f>IFERROR(VLOOKUP($A225,VOCAB!$A$2:$L$1500,6,FALSE),"")</f>
      </c>
      <c r="D225">
        <f>IFERROR(VLOOKUP($A225,VOCAB!$A$2:$L$1500,8,FALSE),"")</f>
      </c>
      <c r="E225" s="4"/>
      <c r="F225" s="4"/>
      <c r="G225" s="4"/>
      <c r="H225">
        <f>IF($G225="","",$G225+IF($E225=0,1,IF($E225=1,1,IF($E225=2,2,IF($E225=3,4,IF($E225=4,7,14))))))</f>
      </c>
      <c r="I225">
        <f>IF($G225="","Mới",IF($H225&lt;=TODAY(),"ĐẾN HẠN","Lịch"))</f>
      </c>
      <c r="J225">
        <f>IF($I225="ĐẾN HẠN",COUNTIF($I$2:$I225,"ĐẾN HẠN"),"")</f>
      </c>
      <c r="K225" s="4"/>
    </row>
    <row r="226">
      <c r="A226" t="inlineStr">
        <is>
          <t xml:space="preserve">b1_abs_001</t>
        </is>
      </c>
      <c r="B226">
        <f>IFERROR(VLOOKUP($A226,VOCAB!$A$2:$L$1500,5,FALSE),"")</f>
      </c>
      <c r="C226">
        <f>IFERROR(VLOOKUP($A226,VOCAB!$A$2:$L$1500,6,FALSE),"")</f>
      </c>
      <c r="D226">
        <f>IFERROR(VLOOKUP($A226,VOCAB!$A$2:$L$1500,8,FALSE),"")</f>
      </c>
      <c r="E226" s="4"/>
      <c r="F226" s="4"/>
      <c r="G226" s="4"/>
      <c r="H226">
        <f>IF($G226="","",$G226+IF($E226=0,1,IF($E226=1,1,IF($E226=2,2,IF($E226=3,4,IF($E226=4,7,14))))))</f>
      </c>
      <c r="I226">
        <f>IF($G226="","Mới",IF($H226&lt;=TODAY(),"ĐẾN HẠN","Lịch"))</f>
      </c>
      <c r="J226">
        <f>IF($I226="ĐẾN HẠN",COUNTIF($I$2:$I226,"ĐẾN HẠN"),"")</f>
      </c>
      <c r="K226" s="4"/>
    </row>
    <row r="227">
      <c r="A227" t="inlineStr">
        <is>
          <t xml:space="preserve">b1_abs_002</t>
        </is>
      </c>
      <c r="B227">
        <f>IFERROR(VLOOKUP($A227,VOCAB!$A$2:$L$1500,5,FALSE),"")</f>
      </c>
      <c r="C227">
        <f>IFERROR(VLOOKUP($A227,VOCAB!$A$2:$L$1500,6,FALSE),"")</f>
      </c>
      <c r="D227">
        <f>IFERROR(VLOOKUP($A227,VOCAB!$A$2:$L$1500,8,FALSE),"")</f>
      </c>
      <c r="E227" s="4"/>
      <c r="F227" s="4"/>
      <c r="G227" s="4"/>
      <c r="H227">
        <f>IF($G227="","",$G227+IF($E227=0,1,IF($E227=1,1,IF($E227=2,2,IF($E227=3,4,IF($E227=4,7,14))))))</f>
      </c>
      <c r="I227">
        <f>IF($G227="","Mới",IF($H227&lt;=TODAY(),"ĐẾN HẠN","Lịch"))</f>
      </c>
      <c r="J227">
        <f>IF($I227="ĐẾN HẠN",COUNTIF($I$2:$I227,"ĐẾN HẠN"),"")</f>
      </c>
      <c r="K227" s="4"/>
    </row>
    <row r="228">
      <c r="A228" t="inlineStr">
        <is>
          <t xml:space="preserve">b1_abs_003</t>
        </is>
      </c>
      <c r="B228">
        <f>IFERROR(VLOOKUP($A228,VOCAB!$A$2:$L$1500,5,FALSE),"")</f>
      </c>
      <c r="C228">
        <f>IFERROR(VLOOKUP($A228,VOCAB!$A$2:$L$1500,6,FALSE),"")</f>
      </c>
      <c r="D228">
        <f>IFERROR(VLOOKUP($A228,VOCAB!$A$2:$L$1500,8,FALSE),"")</f>
      </c>
      <c r="E228" s="4"/>
      <c r="F228" s="4"/>
      <c r="G228" s="4"/>
      <c r="H228">
        <f>IF($G228="","",$G228+IF($E228=0,1,IF($E228=1,1,IF($E228=2,2,IF($E228=3,4,IF($E228=4,7,14))))))</f>
      </c>
      <c r="I228">
        <f>IF($G228="","Mới",IF($H228&lt;=TODAY(),"ĐẾN HẠN","Lịch"))</f>
      </c>
      <c r="J228">
        <f>IF($I228="ĐẾN HẠN",COUNTIF($I$2:$I228,"ĐẾN HẠN"),"")</f>
      </c>
      <c r="K228" s="4"/>
    </row>
    <row r="229">
      <c r="A229" t="inlineStr">
        <is>
          <t xml:space="preserve">b1_abs_004</t>
        </is>
      </c>
      <c r="B229">
        <f>IFERROR(VLOOKUP($A229,VOCAB!$A$2:$L$1500,5,FALSE),"")</f>
      </c>
      <c r="C229">
        <f>IFERROR(VLOOKUP($A229,VOCAB!$A$2:$L$1500,6,FALSE),"")</f>
      </c>
      <c r="D229">
        <f>IFERROR(VLOOKUP($A229,VOCAB!$A$2:$L$1500,8,FALSE),"")</f>
      </c>
      <c r="E229" s="4"/>
      <c r="F229" s="4"/>
      <c r="G229" s="4"/>
      <c r="H229">
        <f>IF($G229="","",$G229+IF($E229=0,1,IF($E229=1,1,IF($E229=2,2,IF($E229=3,4,IF($E229=4,7,14))))))</f>
      </c>
      <c r="I229">
        <f>IF($G229="","Mới",IF($H229&lt;=TODAY(),"ĐẾN HẠN","Lịch"))</f>
      </c>
      <c r="J229">
        <f>IF($I229="ĐẾN HẠN",COUNTIF($I$2:$I229,"ĐẾN HẠN"),"")</f>
      </c>
      <c r="K229" s="4"/>
    </row>
    <row r="230">
      <c r="A230" t="inlineStr">
        <is>
          <t xml:space="preserve">b1_abs_005</t>
        </is>
      </c>
      <c r="B230">
        <f>IFERROR(VLOOKUP($A230,VOCAB!$A$2:$L$1500,5,FALSE),"")</f>
      </c>
      <c r="C230">
        <f>IFERROR(VLOOKUP($A230,VOCAB!$A$2:$L$1500,6,FALSE),"")</f>
      </c>
      <c r="D230">
        <f>IFERROR(VLOOKUP($A230,VOCAB!$A$2:$L$1500,8,FALSE),"")</f>
      </c>
      <c r="E230" s="4"/>
      <c r="F230" s="4"/>
      <c r="G230" s="4"/>
      <c r="H230">
        <f>IF($G230="","",$G230+IF($E230=0,1,IF($E230=1,1,IF($E230=2,2,IF($E230=3,4,IF($E230=4,7,14))))))</f>
      </c>
      <c r="I230">
        <f>IF($G230="","Mới",IF($H230&lt;=TODAY(),"ĐẾN HẠN","Lịch"))</f>
      </c>
      <c r="J230">
        <f>IF($I230="ĐẾN HẠN",COUNTIF($I$2:$I230,"ĐẾN HẠN"),"")</f>
      </c>
      <c r="K230" s="4"/>
    </row>
    <row r="231">
      <c r="A231" t="inlineStr">
        <is>
          <t xml:space="preserve">b1_abs_006</t>
        </is>
      </c>
      <c r="B231">
        <f>IFERROR(VLOOKUP($A231,VOCAB!$A$2:$L$1500,5,FALSE),"")</f>
      </c>
      <c r="C231">
        <f>IFERROR(VLOOKUP($A231,VOCAB!$A$2:$L$1500,6,FALSE),"")</f>
      </c>
      <c r="D231">
        <f>IFERROR(VLOOKUP($A231,VOCAB!$A$2:$L$1500,8,FALSE),"")</f>
      </c>
      <c r="E231" s="4"/>
      <c r="F231" s="4"/>
      <c r="G231" s="4"/>
      <c r="H231">
        <f>IF($G231="","",$G231+IF($E231=0,1,IF($E231=1,1,IF($E231=2,2,IF($E231=3,4,IF($E231=4,7,14))))))</f>
      </c>
      <c r="I231">
        <f>IF($G231="","Mới",IF($H231&lt;=TODAY(),"ĐẾN HẠN","Lịch"))</f>
      </c>
      <c r="J231">
        <f>IF($I231="ĐẾN HẠN",COUNTIF($I$2:$I231,"ĐẾN HẠN"),"")</f>
      </c>
      <c r="K231" s="4"/>
    </row>
    <row r="232">
      <c r="A232" t="inlineStr">
        <is>
          <t xml:space="preserve">b1_abs_007</t>
        </is>
      </c>
      <c r="B232">
        <f>IFERROR(VLOOKUP($A232,VOCAB!$A$2:$L$1500,5,FALSE),"")</f>
      </c>
      <c r="C232">
        <f>IFERROR(VLOOKUP($A232,VOCAB!$A$2:$L$1500,6,FALSE),"")</f>
      </c>
      <c r="D232">
        <f>IFERROR(VLOOKUP($A232,VOCAB!$A$2:$L$1500,8,FALSE),"")</f>
      </c>
      <c r="E232" s="4"/>
      <c r="F232" s="4"/>
      <c r="G232" s="4"/>
      <c r="H232">
        <f>IF($G232="","",$G232+IF($E232=0,1,IF($E232=1,1,IF($E232=2,2,IF($E232=3,4,IF($E232=4,7,14))))))</f>
      </c>
      <c r="I232">
        <f>IF($G232="","Mới",IF($H232&lt;=TODAY(),"ĐẾN HẠN","Lịch"))</f>
      </c>
      <c r="J232">
        <f>IF($I232="ĐẾN HẠN",COUNTIF($I$2:$I232,"ĐẾN HẠN"),"")</f>
      </c>
      <c r="K232" s="4"/>
    </row>
    <row r="233">
      <c r="A233" t="inlineStr">
        <is>
          <t xml:space="preserve">b1_abs_008</t>
        </is>
      </c>
      <c r="B233">
        <f>IFERROR(VLOOKUP($A233,VOCAB!$A$2:$L$1500,5,FALSE),"")</f>
      </c>
      <c r="C233">
        <f>IFERROR(VLOOKUP($A233,VOCAB!$A$2:$L$1500,6,FALSE),"")</f>
      </c>
      <c r="D233">
        <f>IFERROR(VLOOKUP($A233,VOCAB!$A$2:$L$1500,8,FALSE),"")</f>
      </c>
      <c r="E233" s="4"/>
      <c r="F233" s="4"/>
      <c r="G233" s="4"/>
      <c r="H233">
        <f>IF($G233="","",$G233+IF($E233=0,1,IF($E233=1,1,IF($E233=2,2,IF($E233=3,4,IF($E233=4,7,14))))))</f>
      </c>
      <c r="I233">
        <f>IF($G233="","Mới",IF($H233&lt;=TODAY(),"ĐẾN HẠN","Lịch"))</f>
      </c>
      <c r="J233">
        <f>IF($I233="ĐẾN HẠN",COUNTIF($I$2:$I233,"ĐẾN HẠN"),"")</f>
      </c>
      <c r="K233" s="4"/>
    </row>
    <row r="234">
      <c r="A234" t="inlineStr">
        <is>
          <t xml:space="preserve">b1_abs_009</t>
        </is>
      </c>
      <c r="B234">
        <f>IFERROR(VLOOKUP($A234,VOCAB!$A$2:$L$1500,5,FALSE),"")</f>
      </c>
      <c r="C234">
        <f>IFERROR(VLOOKUP($A234,VOCAB!$A$2:$L$1500,6,FALSE),"")</f>
      </c>
      <c r="D234">
        <f>IFERROR(VLOOKUP($A234,VOCAB!$A$2:$L$1500,8,FALSE),"")</f>
      </c>
      <c r="E234" s="4"/>
      <c r="F234" s="4"/>
      <c r="G234" s="4"/>
      <c r="H234">
        <f>IF($G234="","",$G234+IF($E234=0,1,IF($E234=1,1,IF($E234=2,2,IF($E234=3,4,IF($E234=4,7,14))))))</f>
      </c>
      <c r="I234">
        <f>IF($G234="","Mới",IF($H234&lt;=TODAY(),"ĐẾN HẠN","Lịch"))</f>
      </c>
      <c r="J234">
        <f>IF($I234="ĐẾN HẠN",COUNTIF($I$2:$I234,"ĐẾN HẠN"),"")</f>
      </c>
      <c r="K234" s="4"/>
    </row>
    <row r="235">
      <c r="A235" t="inlineStr">
        <is>
          <t xml:space="preserve">b1_abs_010</t>
        </is>
      </c>
      <c r="B235">
        <f>IFERROR(VLOOKUP($A235,VOCAB!$A$2:$L$1500,5,FALSE),"")</f>
      </c>
      <c r="C235">
        <f>IFERROR(VLOOKUP($A235,VOCAB!$A$2:$L$1500,6,FALSE),"")</f>
      </c>
      <c r="D235">
        <f>IFERROR(VLOOKUP($A235,VOCAB!$A$2:$L$1500,8,FALSE),"")</f>
      </c>
      <c r="E235" s="4"/>
      <c r="F235" s="4"/>
      <c r="G235" s="4"/>
      <c r="H235">
        <f>IF($G235="","",$G235+IF($E235=0,1,IF($E235=1,1,IF($E235=2,2,IF($E235=3,4,IF($E235=4,7,14))))))</f>
      </c>
      <c r="I235">
        <f>IF($G235="","Mới",IF($H235&lt;=TODAY(),"ĐẾN HẠN","Lịch"))</f>
      </c>
      <c r="J235">
        <f>IF($I235="ĐẾN HẠN",COUNTIF($I$2:$I235,"ĐẾN HẠN"),"")</f>
      </c>
      <c r="K235" s="4"/>
    </row>
    <row r="236">
      <c r="A236" t="inlineStr">
        <is>
          <t xml:space="preserve">b1_abs_011</t>
        </is>
      </c>
      <c r="B236">
        <f>IFERROR(VLOOKUP($A236,VOCAB!$A$2:$L$1500,5,FALSE),"")</f>
      </c>
      <c r="C236">
        <f>IFERROR(VLOOKUP($A236,VOCAB!$A$2:$L$1500,6,FALSE),"")</f>
      </c>
      <c r="D236">
        <f>IFERROR(VLOOKUP($A236,VOCAB!$A$2:$L$1500,8,FALSE),"")</f>
      </c>
      <c r="E236" s="4"/>
      <c r="F236" s="4"/>
      <c r="G236" s="4"/>
      <c r="H236">
        <f>IF($G236="","",$G236+IF($E236=0,1,IF($E236=1,1,IF($E236=2,2,IF($E236=3,4,IF($E236=4,7,14))))))</f>
      </c>
      <c r="I236">
        <f>IF($G236="","Mới",IF($H236&lt;=TODAY(),"ĐẾN HẠN","Lịch"))</f>
      </c>
      <c r="J236">
        <f>IF($I236="ĐẾN HẠN",COUNTIF($I$2:$I236,"ĐẾN HẠN"),"")</f>
      </c>
      <c r="K236" s="4"/>
    </row>
    <row r="237">
      <c r="A237" t="inlineStr">
        <is>
          <t xml:space="preserve">b1_abs_012</t>
        </is>
      </c>
      <c r="B237">
        <f>IFERROR(VLOOKUP($A237,VOCAB!$A$2:$L$1500,5,FALSE),"")</f>
      </c>
      <c r="C237">
        <f>IFERROR(VLOOKUP($A237,VOCAB!$A$2:$L$1500,6,FALSE),"")</f>
      </c>
      <c r="D237">
        <f>IFERROR(VLOOKUP($A237,VOCAB!$A$2:$L$1500,8,FALSE),"")</f>
      </c>
      <c r="E237" s="4"/>
      <c r="F237" s="4"/>
      <c r="G237" s="4"/>
      <c r="H237">
        <f>IF($G237="","",$G237+IF($E237=0,1,IF($E237=1,1,IF($E237=2,2,IF($E237=3,4,IF($E237=4,7,14))))))</f>
      </c>
      <c r="I237">
        <f>IF($G237="","Mới",IF($H237&lt;=TODAY(),"ĐẾN HẠN","Lịch"))</f>
      </c>
      <c r="J237">
        <f>IF($I237="ĐẾN HẠN",COUNTIF($I$2:$I237,"ĐẾN HẠN"),"")</f>
      </c>
      <c r="K237" s="4"/>
    </row>
    <row r="238">
      <c r="A238" t="inlineStr">
        <is>
          <t xml:space="preserve">b1_work_001</t>
        </is>
      </c>
      <c r="B238">
        <f>IFERROR(VLOOKUP($A238,VOCAB!$A$2:$L$1500,5,FALSE),"")</f>
      </c>
      <c r="C238">
        <f>IFERROR(VLOOKUP($A238,VOCAB!$A$2:$L$1500,6,FALSE),"")</f>
      </c>
      <c r="D238">
        <f>IFERROR(VLOOKUP($A238,VOCAB!$A$2:$L$1500,8,FALSE),"")</f>
      </c>
      <c r="E238" s="4"/>
      <c r="F238" s="4"/>
      <c r="G238" s="4"/>
      <c r="H238">
        <f>IF($G238="","",$G238+IF($E238=0,1,IF($E238=1,1,IF($E238=2,2,IF($E238=3,4,IF($E238=4,7,14))))))</f>
      </c>
      <c r="I238">
        <f>IF($G238="","Mới",IF($H238&lt;=TODAY(),"ĐẾN HẠN","Lịch"))</f>
      </c>
      <c r="J238">
        <f>IF($I238="ĐẾN HẠN",COUNTIF($I$2:$I238,"ĐẾN HẠN"),"")</f>
      </c>
      <c r="K238" s="4"/>
    </row>
    <row r="239">
      <c r="A239" t="inlineStr">
        <is>
          <t xml:space="preserve">b1_work_002</t>
        </is>
      </c>
      <c r="B239">
        <f>IFERROR(VLOOKUP($A239,VOCAB!$A$2:$L$1500,5,FALSE),"")</f>
      </c>
      <c r="C239">
        <f>IFERROR(VLOOKUP($A239,VOCAB!$A$2:$L$1500,6,FALSE),"")</f>
      </c>
      <c r="D239">
        <f>IFERROR(VLOOKUP($A239,VOCAB!$A$2:$L$1500,8,FALSE),"")</f>
      </c>
      <c r="E239" s="4"/>
      <c r="F239" s="4"/>
      <c r="G239" s="4"/>
      <c r="H239">
        <f>IF($G239="","",$G239+IF($E239=0,1,IF($E239=1,1,IF($E239=2,2,IF($E239=3,4,IF($E239=4,7,14))))))</f>
      </c>
      <c r="I239">
        <f>IF($G239="","Mới",IF($H239&lt;=TODAY(),"ĐẾN HẠN","Lịch"))</f>
      </c>
      <c r="J239">
        <f>IF($I239="ĐẾN HẠN",COUNTIF($I$2:$I239,"ĐẾN HẠN"),"")</f>
      </c>
      <c r="K239" s="4"/>
    </row>
    <row r="240">
      <c r="A240" t="inlineStr">
        <is>
          <t xml:space="preserve">b1_work_003</t>
        </is>
      </c>
      <c r="B240">
        <f>IFERROR(VLOOKUP($A240,VOCAB!$A$2:$L$1500,5,FALSE),"")</f>
      </c>
      <c r="C240">
        <f>IFERROR(VLOOKUP($A240,VOCAB!$A$2:$L$1500,6,FALSE),"")</f>
      </c>
      <c r="D240">
        <f>IFERROR(VLOOKUP($A240,VOCAB!$A$2:$L$1500,8,FALSE),"")</f>
      </c>
      <c r="E240" s="4"/>
      <c r="F240" s="4"/>
      <c r="G240" s="4"/>
      <c r="H240">
        <f>IF($G240="","",$G240+IF($E240=0,1,IF($E240=1,1,IF($E240=2,2,IF($E240=3,4,IF($E240=4,7,14))))))</f>
      </c>
      <c r="I240">
        <f>IF($G240="","Mới",IF($H240&lt;=TODAY(),"ĐẾN HẠN","Lịch"))</f>
      </c>
      <c r="J240">
        <f>IF($I240="ĐẾN HẠN",COUNTIF($I$2:$I240,"ĐẾN HẠN"),"")</f>
      </c>
      <c r="K240" s="4"/>
    </row>
    <row r="241">
      <c r="A241" t="inlineStr">
        <is>
          <t xml:space="preserve">b1_work_004</t>
        </is>
      </c>
      <c r="B241">
        <f>IFERROR(VLOOKUP($A241,VOCAB!$A$2:$L$1500,5,FALSE),"")</f>
      </c>
      <c r="C241">
        <f>IFERROR(VLOOKUP($A241,VOCAB!$A$2:$L$1500,6,FALSE),"")</f>
      </c>
      <c r="D241">
        <f>IFERROR(VLOOKUP($A241,VOCAB!$A$2:$L$1500,8,FALSE),"")</f>
      </c>
      <c r="E241" s="4"/>
      <c r="F241" s="4"/>
      <c r="G241" s="4"/>
      <c r="H241">
        <f>IF($G241="","",$G241+IF($E241=0,1,IF($E241=1,1,IF($E241=2,2,IF($E241=3,4,IF($E241=4,7,14))))))</f>
      </c>
      <c r="I241">
        <f>IF($G241="","Mới",IF($H241&lt;=TODAY(),"ĐẾN HẠN","Lịch"))</f>
      </c>
      <c r="J241">
        <f>IF($I241="ĐẾN HẠN",COUNTIF($I$2:$I241,"ĐẾN HẠN"),"")</f>
      </c>
      <c r="K241" s="4"/>
    </row>
    <row r="242">
      <c r="A242" t="inlineStr">
        <is>
          <t xml:space="preserve">b1_work_005</t>
        </is>
      </c>
      <c r="B242">
        <f>IFERROR(VLOOKUP($A242,VOCAB!$A$2:$L$1500,5,FALSE),"")</f>
      </c>
      <c r="C242">
        <f>IFERROR(VLOOKUP($A242,VOCAB!$A$2:$L$1500,6,FALSE),"")</f>
      </c>
      <c r="D242">
        <f>IFERROR(VLOOKUP($A242,VOCAB!$A$2:$L$1500,8,FALSE),"")</f>
      </c>
      <c r="E242" s="4"/>
      <c r="F242" s="4"/>
      <c r="G242" s="4"/>
      <c r="H242">
        <f>IF($G242="","",$G242+IF($E242=0,1,IF($E242=1,1,IF($E242=2,2,IF($E242=3,4,IF($E242=4,7,14))))))</f>
      </c>
      <c r="I242">
        <f>IF($G242="","Mới",IF($H242&lt;=TODAY(),"ĐẾN HẠN","Lịch"))</f>
      </c>
      <c r="J242">
        <f>IF($I242="ĐẾN HẠN",COUNTIF($I$2:$I242,"ĐẾN HẠN"),"")</f>
      </c>
      <c r="K242" s="4"/>
    </row>
    <row r="243">
      <c r="A243" t="inlineStr">
        <is>
          <t xml:space="preserve">b1_work_006</t>
        </is>
      </c>
      <c r="B243">
        <f>IFERROR(VLOOKUP($A243,VOCAB!$A$2:$L$1500,5,FALSE),"")</f>
      </c>
      <c r="C243">
        <f>IFERROR(VLOOKUP($A243,VOCAB!$A$2:$L$1500,6,FALSE),"")</f>
      </c>
      <c r="D243">
        <f>IFERROR(VLOOKUP($A243,VOCAB!$A$2:$L$1500,8,FALSE),"")</f>
      </c>
      <c r="E243" s="4"/>
      <c r="F243" s="4"/>
      <c r="G243" s="4"/>
      <c r="H243">
        <f>IF($G243="","",$G243+IF($E243=0,1,IF($E243=1,1,IF($E243=2,2,IF($E243=3,4,IF($E243=4,7,14))))))</f>
      </c>
      <c r="I243">
        <f>IF($G243="","Mới",IF($H243&lt;=TODAY(),"ĐẾN HẠN","Lịch"))</f>
      </c>
      <c r="J243">
        <f>IF($I243="ĐẾN HẠN",COUNTIF($I$2:$I243,"ĐẾN HẠN"),"")</f>
      </c>
      <c r="K243" s="4"/>
    </row>
    <row r="244">
      <c r="A244" t="inlineStr">
        <is>
          <t xml:space="preserve">b1_work_007</t>
        </is>
      </c>
      <c r="B244">
        <f>IFERROR(VLOOKUP($A244,VOCAB!$A$2:$L$1500,5,FALSE),"")</f>
      </c>
      <c r="C244">
        <f>IFERROR(VLOOKUP($A244,VOCAB!$A$2:$L$1500,6,FALSE),"")</f>
      </c>
      <c r="D244">
        <f>IFERROR(VLOOKUP($A244,VOCAB!$A$2:$L$1500,8,FALSE),"")</f>
      </c>
      <c r="E244" s="4"/>
      <c r="F244" s="4"/>
      <c r="G244" s="4"/>
      <c r="H244">
        <f>IF($G244="","",$G244+IF($E244=0,1,IF($E244=1,1,IF($E244=2,2,IF($E244=3,4,IF($E244=4,7,14))))))</f>
      </c>
      <c r="I244">
        <f>IF($G244="","Mới",IF($H244&lt;=TODAY(),"ĐẾN HẠN","Lịch"))</f>
      </c>
      <c r="J244">
        <f>IF($I244="ĐẾN HẠN",COUNTIF($I$2:$I244,"ĐẾN HẠN"),"")</f>
      </c>
      <c r="K244" s="4"/>
    </row>
    <row r="245">
      <c r="A245" t="inlineStr">
        <is>
          <t xml:space="preserve">b1_work_008</t>
        </is>
      </c>
      <c r="B245">
        <f>IFERROR(VLOOKUP($A245,VOCAB!$A$2:$L$1500,5,FALSE),"")</f>
      </c>
      <c r="C245">
        <f>IFERROR(VLOOKUP($A245,VOCAB!$A$2:$L$1500,6,FALSE),"")</f>
      </c>
      <c r="D245">
        <f>IFERROR(VLOOKUP($A245,VOCAB!$A$2:$L$1500,8,FALSE),"")</f>
      </c>
      <c r="E245" s="4"/>
      <c r="F245" s="4"/>
      <c r="G245" s="4"/>
      <c r="H245">
        <f>IF($G245="","",$G245+IF($E245=0,1,IF($E245=1,1,IF($E245=2,2,IF($E245=3,4,IF($E245=4,7,14))))))</f>
      </c>
      <c r="I245">
        <f>IF($G245="","Mới",IF($H245&lt;=TODAY(),"ĐẾN HẠN","Lịch"))</f>
      </c>
      <c r="J245">
        <f>IF($I245="ĐẾN HẠN",COUNTIF($I$2:$I245,"ĐẾN HẠN"),"")</f>
      </c>
      <c r="K245" s="4"/>
    </row>
    <row r="246">
      <c r="A246" t="inlineStr">
        <is>
          <t xml:space="preserve">b1_work_009</t>
        </is>
      </c>
      <c r="B246">
        <f>IFERROR(VLOOKUP($A246,VOCAB!$A$2:$L$1500,5,FALSE),"")</f>
      </c>
      <c r="C246">
        <f>IFERROR(VLOOKUP($A246,VOCAB!$A$2:$L$1500,6,FALSE),"")</f>
      </c>
      <c r="D246">
        <f>IFERROR(VLOOKUP($A246,VOCAB!$A$2:$L$1500,8,FALSE),"")</f>
      </c>
      <c r="E246" s="4"/>
      <c r="F246" s="4"/>
      <c r="G246" s="4"/>
      <c r="H246">
        <f>IF($G246="","",$G246+IF($E246=0,1,IF($E246=1,1,IF($E246=2,2,IF($E246=3,4,IF($E246=4,7,14))))))</f>
      </c>
      <c r="I246">
        <f>IF($G246="","Mới",IF($H246&lt;=TODAY(),"ĐẾN HẠN","Lịch"))</f>
      </c>
      <c r="J246">
        <f>IF($I246="ĐẾN HẠN",COUNTIF($I$2:$I246,"ĐẾN HẠN"),"")</f>
      </c>
      <c r="K246" s="4"/>
    </row>
    <row r="247">
      <c r="A247" t="inlineStr">
        <is>
          <t xml:space="preserve">b1_work_010</t>
        </is>
      </c>
      <c r="B247">
        <f>IFERROR(VLOOKUP($A247,VOCAB!$A$2:$L$1500,5,FALSE),"")</f>
      </c>
      <c r="C247">
        <f>IFERROR(VLOOKUP($A247,VOCAB!$A$2:$L$1500,6,FALSE),"")</f>
      </c>
      <c r="D247">
        <f>IFERROR(VLOOKUP($A247,VOCAB!$A$2:$L$1500,8,FALSE),"")</f>
      </c>
      <c r="E247" s="4"/>
      <c r="F247" s="4"/>
      <c r="G247" s="4"/>
      <c r="H247">
        <f>IF($G247="","",$G247+IF($E247=0,1,IF($E247=1,1,IF($E247=2,2,IF($E247=3,4,IF($E247=4,7,14))))))</f>
      </c>
      <c r="I247">
        <f>IF($G247="","Mới",IF($H247&lt;=TODAY(),"ĐẾN HẠN","Lịch"))</f>
      </c>
      <c r="J247">
        <f>IF($I247="ĐẾN HẠN",COUNTIF($I$2:$I247,"ĐẾN HẠN"),"")</f>
      </c>
      <c r="K247" s="4"/>
    </row>
    <row r="248">
      <c r="A248" t="inlineStr">
        <is>
          <t xml:space="preserve">b1_work_011</t>
        </is>
      </c>
      <c r="B248">
        <f>IFERROR(VLOOKUP($A248,VOCAB!$A$2:$L$1500,5,FALSE),"")</f>
      </c>
      <c r="C248">
        <f>IFERROR(VLOOKUP($A248,VOCAB!$A$2:$L$1500,6,FALSE),"")</f>
      </c>
      <c r="D248">
        <f>IFERROR(VLOOKUP($A248,VOCAB!$A$2:$L$1500,8,FALSE),"")</f>
      </c>
      <c r="E248" s="4"/>
      <c r="F248" s="4"/>
      <c r="G248" s="4"/>
      <c r="H248">
        <f>IF($G248="","",$G248+IF($E248=0,1,IF($E248=1,1,IF($E248=2,2,IF($E248=3,4,IF($E248=4,7,14))))))</f>
      </c>
      <c r="I248">
        <f>IF($G248="","Mới",IF($H248&lt;=TODAY(),"ĐẾN HẠN","Lịch"))</f>
      </c>
      <c r="J248">
        <f>IF($I248="ĐẾN HẠN",COUNTIF($I$2:$I248,"ĐẾN HẠN"),"")</f>
      </c>
      <c r="K248" s="4"/>
    </row>
    <row r="249">
      <c r="A249" t="inlineStr">
        <is>
          <t xml:space="preserve">b1_work_012</t>
        </is>
      </c>
      <c r="B249">
        <f>IFERROR(VLOOKUP($A249,VOCAB!$A$2:$L$1500,5,FALSE),"")</f>
      </c>
      <c r="C249">
        <f>IFERROR(VLOOKUP($A249,VOCAB!$A$2:$L$1500,6,FALSE),"")</f>
      </c>
      <c r="D249">
        <f>IFERROR(VLOOKUP($A249,VOCAB!$A$2:$L$1500,8,FALSE),"")</f>
      </c>
      <c r="E249" s="4"/>
      <c r="F249" s="4"/>
      <c r="G249" s="4"/>
      <c r="H249">
        <f>IF($G249="","",$G249+IF($E249=0,1,IF($E249=1,1,IF($E249=2,2,IF($E249=3,4,IF($E249=4,7,14))))))</f>
      </c>
      <c r="I249">
        <f>IF($G249="","Mới",IF($H249&lt;=TODAY(),"ĐẾN HẠN","Lịch"))</f>
      </c>
      <c r="J249">
        <f>IF($I249="ĐẾN HẠN",COUNTIF($I$2:$I249,"ĐẾN HẠN"),"")</f>
      </c>
      <c r="K249" s="4"/>
    </row>
  </sheetData>
  <autoFilter ref="A1:K249"/>
  <dataValidations count="1">
    <dataValidation type="list" allowBlank="1" showInputMessage="1" showErrorMessage="1" sqref="E2:F249">
      <formula1>"0,1,2,3,4,5"</formula1>
    </dataValidation>
  </dataValidations>
  <pageMargins left="0.4" right="0.4" top="0.6" bottom="0.6" header="0.3" footer="0.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7" customWidth="1"/>
    <col min="3" max="3" width="28" customWidth="1"/>
    <col min="4" max="4" width="34" customWidth="1"/>
    <col min="5" max="5" width="32" customWidth="1"/>
    <col min="6" max="6" width="32" customWidth="1"/>
    <col min="7" max="7" width="30" customWidth="1"/>
    <col min="8" max="8" width="11" customWidth="1"/>
    <col min="9" max="9" width="15" customWidth="1"/>
    <col min="10" max="10" width="13" customWidth="1"/>
    <col min="11" max="11" width="12" customWidth="1"/>
    <col min="12" max="12" width="10" customWidth="1"/>
    <col min="13" max="13" width="14" customWidth="1"/>
  </cols>
  <sheetData>
    <row r="1">
      <c r="A1" s="1" t="inlineStr">
        <is>
          <t xml:space="preserve">ID</t>
        </is>
      </c>
      <c r="B1" s="1" t="inlineStr">
        <is>
          <t xml:space="preserve">Level</t>
        </is>
      </c>
      <c r="C1" s="1" t="inlineStr">
        <is>
          <t xml:space="preserve">Chủ đề</t>
        </is>
      </c>
      <c r="D1" s="1" t="inlineStr">
        <is>
          <t xml:space="preserve">Công thức</t>
        </is>
      </c>
      <c r="E1" s="1" t="inlineStr">
        <is>
          <t xml:space="preserve">Ví dụ</t>
        </is>
      </c>
      <c r="F1" s="1" t="inlineStr">
        <is>
          <t xml:space="preserve">Lỗi hay gặp</t>
        </is>
      </c>
      <c r="G1" s="1" t="inlineStr">
        <is>
          <t xml:space="preserve">Bài luyện</t>
        </is>
      </c>
      <c r="H1" s="1" t="inlineStr">
        <is>
          <t xml:space="preserve">Mastery 0-5</t>
        </is>
      </c>
      <c r="I1" s="1" t="inlineStr">
        <is>
          <t xml:space="preserve">Ngày học gần nhất</t>
        </is>
      </c>
      <c r="J1" s="1" t="inlineStr">
        <is>
          <t xml:space="preserve">Ngày ôn tới</t>
        </is>
      </c>
      <c r="K1" s="1" t="inlineStr">
        <is>
          <t xml:space="preserve">Trạng thái</t>
        </is>
      </c>
      <c r="L1" s="1" t="inlineStr">
        <is>
          <t xml:space="preserve">Thứ tự đến hạn</t>
        </is>
      </c>
      <c r="M1" s="1" t="inlineStr">
        <is>
          <t xml:space="preserve">Số ngày trong lịch</t>
        </is>
      </c>
    </row>
    <row r="2">
      <c r="A2" t="inlineStr">
        <is>
          <t xml:space="preserve">GA01</t>
        </is>
      </c>
      <c r="B2" t="inlineStr">
        <is>
          <t xml:space="preserve">A0</t>
        </is>
      </c>
      <c r="C2" s="3" t="inlineStr">
        <is>
          <t xml:space="preserve">Verb BE</t>
        </is>
      </c>
      <c r="D2" s="3" t="inlineStr">
        <is>
          <t xml:space="preserve">I am / You are / He is / She is / It is</t>
        </is>
      </c>
      <c r="E2" s="3" t="inlineStr">
        <is>
          <t xml:space="preserve">I am a student.</t>
        </is>
      </c>
      <c r="F2" s="3" t="inlineStr">
        <is>
          <t xml:space="preserve">Using do with BE: "I do am a student"</t>
        </is>
      </c>
      <c r="G2" s="3" t="inlineStr">
        <is>
          <t xml:space="preserve">Change 20 sentences to BE</t>
        </is>
      </c>
      <c r="H2" s="4"/>
      <c r="I2" s="4"/>
      <c r="J2">
        <f>IF($I2="","",$I2+IF($H2=0,3,IF($H2=1,4,IF($H2=2,7,IF($H2=3,14,IF($H2=4,21,30))))))</f>
      </c>
      <c r="K2">
        <f>IF($I2="","Chưa học",IF($J2&lt;=TODAY(),"ĐẾN HẠN","Lịch"))</f>
      </c>
      <c r="L2">
        <f>IF($K2="ĐẾN HẠN",COUNTIF($K$2:$K2,"ĐẾN HẠN"),"")</f>
      </c>
      <c r="M2">
        <f>SUMPRODUCT(--ISNUMBER(SEARCH($A2,PLAN_180!$I$2:$I$181)))</f>
      </c>
    </row>
    <row r="3">
      <c r="A3" t="inlineStr">
        <is>
          <t xml:space="preserve">GA02</t>
        </is>
      </c>
      <c r="B3" t="inlineStr">
        <is>
          <t xml:space="preserve">A0</t>
        </is>
      </c>
      <c r="C3" s="3" t="inlineStr">
        <is>
          <t xml:space="preserve">Subject pronouns</t>
        </is>
      </c>
      <c r="D3" s="3" t="inlineStr">
        <is>
          <t xml:space="preserve">I / you / he / she / it / we / they</t>
        </is>
      </c>
      <c r="E3" s="3" t="inlineStr">
        <is>
          <t xml:space="preserve">She is my friend.</t>
        </is>
      </c>
      <c r="F3" s="3" t="inlineStr">
        <is>
          <t xml:space="preserve">Mixing subject and object: "Him is my friend"</t>
        </is>
      </c>
      <c r="G3" s="3" t="inlineStr">
        <is>
          <t xml:space="preserve">Substitution drill, 10 lines</t>
        </is>
      </c>
      <c r="H3" s="4"/>
      <c r="I3" s="4"/>
      <c r="J3">
        <f>IF($I3="","",$I3+IF($H3=0,3,IF($H3=1,4,IF($H3=2,7,IF($H3=3,14,IF($H3=4,21,30))))))</f>
      </c>
      <c r="K3">
        <f>IF($I3="","Chưa học",IF($J3&lt;=TODAY(),"ĐẾN HẠN","Lịch"))</f>
      </c>
      <c r="L3">
        <f>IF($K3="ĐẾN HẠN",COUNTIF($K$2:$K3,"ĐẾN HẠN"),"")</f>
      </c>
      <c r="M3">
        <f>SUMPRODUCT(--ISNUMBER(SEARCH($A3,PLAN_180!$I$2:$I$181)))</f>
      </c>
    </row>
    <row r="4">
      <c r="A4" t="inlineStr">
        <is>
          <t xml:space="preserve">GA03</t>
        </is>
      </c>
      <c r="B4" t="inlineStr">
        <is>
          <t xml:space="preserve">A0</t>
        </is>
      </c>
      <c r="C4" s="3" t="inlineStr">
        <is>
          <t xml:space="preserve">Possessive adjectives</t>
        </is>
      </c>
      <c r="D4" s="3" t="inlineStr">
        <is>
          <t xml:space="preserve">my / your / his / her / its / our / their</t>
        </is>
      </c>
      <c r="E4" s="3" t="inlineStr">
        <is>
          <t xml:space="preserve">This is my mother.</t>
        </is>
      </c>
      <c r="F4" s="3" t="inlineStr">
        <is>
          <t xml:space="preserve">Using he's for his: "This is he book"</t>
        </is>
      </c>
      <c r="G4" s="3" t="inlineStr">
        <is>
          <t xml:space="preserve">Label 15 things in a family photo</t>
        </is>
      </c>
      <c r="H4" s="4"/>
      <c r="I4" s="4"/>
      <c r="J4">
        <f>IF($I4="","",$I4+IF($H4=0,3,IF($H4=1,4,IF($H4=2,7,IF($H4=3,14,IF($H4=4,21,30))))))</f>
      </c>
      <c r="K4">
        <f>IF($I4="","Chưa học",IF($J4&lt;=TODAY(),"ĐẾN HẠN","Lịch"))</f>
      </c>
      <c r="L4">
        <f>IF($K4="ĐẾN HẠN",COUNTIF($K$2:$K4,"ĐẾN HẠN"),"")</f>
      </c>
      <c r="M4">
        <f>SUMPRODUCT(--ISNUMBER(SEARCH($A4,PLAN_180!$I$2:$I$181)))</f>
      </c>
    </row>
    <row r="5">
      <c r="A5" t="inlineStr">
        <is>
          <t xml:space="preserve">GA04</t>
        </is>
      </c>
      <c r="B5" t="inlineStr">
        <is>
          <t xml:space="preserve">A0</t>
        </is>
      </c>
      <c r="C5" s="3" t="inlineStr">
        <is>
          <t xml:space="preserve">This / That / These / Those</t>
        </is>
      </c>
      <c r="D5" s="3" t="inlineStr">
        <is>
          <t xml:space="preserve">this + singular near, that + singular far, these/those + plural</t>
        </is>
      </c>
      <c r="E5" s="3" t="inlineStr">
        <is>
          <t xml:space="preserve">This is my pen. Those are her shoes.</t>
        </is>
      </c>
      <c r="F5" s="3" t="inlineStr">
        <is>
          <t xml:space="preserve">these is / that are</t>
        </is>
      </c>
      <c r="G5" s="3" t="inlineStr">
        <is>
          <t xml:space="preserve">Point and name 20 objects</t>
        </is>
      </c>
      <c r="H5" s="4"/>
      <c r="I5" s="4"/>
      <c r="J5">
        <f>IF($I5="","",$I5+IF($H5=0,3,IF($H5=1,4,IF($H5=2,7,IF($H5=3,14,IF($H5=4,21,30))))))</f>
      </c>
      <c r="K5">
        <f>IF($I5="","Chưa học",IF($J5&lt;=TODAY(),"ĐẾN HẠN","Lịch"))</f>
      </c>
      <c r="L5">
        <f>IF($K5="ĐẾN HẠN",COUNTIF($K$2:$K5,"ĐẾN HẠN"),"")</f>
      </c>
      <c r="M5">
        <f>SUMPRODUCT(--ISNUMBER(SEARCH($A5,PLAN_180!$I$2:$I$181)))</f>
      </c>
    </row>
    <row r="6">
      <c r="A6" t="inlineStr">
        <is>
          <t xml:space="preserve">GA05</t>
        </is>
      </c>
      <c r="B6" t="inlineStr">
        <is>
          <t xml:space="preserve">A0</t>
        </is>
      </c>
      <c r="C6" s="3" t="inlineStr">
        <is>
          <t xml:space="preserve">There is / There are</t>
        </is>
      </c>
      <c r="D6" s="3" t="inlineStr">
        <is>
          <t xml:space="preserve">There is + singular, There are + plural</t>
        </is>
      </c>
      <c r="E6" s="3" t="inlineStr">
        <is>
          <t xml:space="preserve">There are two books on the table.</t>
        </is>
      </c>
      <c r="F6" s="3" t="inlineStr">
        <is>
          <t xml:space="preserve">Using is with a plural: "There is two books"</t>
        </is>
      </c>
      <c r="G6" s="3" t="inlineStr">
        <is>
          <t xml:space="preserve">Describe a room in 10 sentences</t>
        </is>
      </c>
      <c r="H6" s="4"/>
      <c r="I6" s="4"/>
      <c r="J6">
        <f>IF($I6="","",$I6+IF($H6=0,3,IF($H6=1,4,IF($H6=2,7,IF($H6=3,14,IF($H6=4,21,30))))))</f>
      </c>
      <c r="K6">
        <f>IF($I6="","Chưa học",IF($J6&lt;=TODAY(),"ĐẾN HẠN","Lịch"))</f>
      </c>
      <c r="L6">
        <f>IF($K6="ĐẾN HẠN",COUNTIF($K$2:$K6,"ĐẾN HẠN"),"")</f>
      </c>
      <c r="M6">
        <f>SUMPRODUCT(--ISNUMBER(SEARCH($A6,PLAN_180!$I$2:$I$181)))</f>
      </c>
    </row>
    <row r="7">
      <c r="A7" t="inlineStr">
        <is>
          <t xml:space="preserve">GA06</t>
        </is>
      </c>
      <c r="B7" t="inlineStr">
        <is>
          <t xml:space="preserve">A0</t>
        </is>
      </c>
      <c r="C7" s="3" t="inlineStr">
        <is>
          <t xml:space="preserve">Wh- questions</t>
        </is>
      </c>
      <c r="D7" s="3" t="inlineStr">
        <is>
          <t xml:space="preserve">What / Where / Who / When / Why / How + BE or DO</t>
        </is>
      </c>
      <c r="E7" s="3" t="inlineStr">
        <is>
          <t xml:space="preserve">Where are you from?</t>
        </is>
      </c>
      <c r="F7" s="3" t="inlineStr">
        <is>
          <t xml:space="preserve">Wrong auxiliary or missing BE: "Where you from?"</t>
        </is>
      </c>
      <c r="G7" s="3" t="inlineStr">
        <is>
          <t xml:space="preserve">Ask and answer 20 questions</t>
        </is>
      </c>
      <c r="H7" s="4"/>
      <c r="I7" s="4"/>
      <c r="J7">
        <f>IF($I7="","",$I7+IF($H7=0,3,IF($H7=1,4,IF($H7=2,7,IF($H7=3,14,IF($H7=4,21,30))))))</f>
      </c>
      <c r="K7">
        <f>IF($I7="","Chưa học",IF($J7&lt;=TODAY(),"ĐẾN HẠN","Lịch"))</f>
      </c>
      <c r="L7">
        <f>IF($K7="ĐẾN HẠN",COUNTIF($K$2:$K7,"ĐẾN HẠN"),"")</f>
      </c>
      <c r="M7">
        <f>SUMPRODUCT(--ISNUMBER(SEARCH($A7,PLAN_180!$I$2:$I$181)))</f>
      </c>
    </row>
    <row r="8">
      <c r="A8" t="inlineStr">
        <is>
          <t xml:space="preserve">GA11</t>
        </is>
      </c>
      <c r="B8" t="inlineStr">
        <is>
          <t xml:space="preserve">A1</t>
        </is>
      </c>
      <c r="C8" s="3" t="inlineStr">
        <is>
          <t xml:space="preserve">Present Simple</t>
        </is>
      </c>
      <c r="D8" s="3" t="inlineStr">
        <is>
          <t xml:space="preserve">S + V(s/es); negative don't / doesn't</t>
        </is>
      </c>
      <c r="E8" s="3" t="inlineStr">
        <is>
          <t xml:space="preserve">She works every day.</t>
        </is>
      </c>
      <c r="F8" s="3" t="inlineStr">
        <is>
          <t xml:space="preserve">Forgetting the -s: "She work every day"</t>
        </is>
      </c>
      <c r="G8" s="3" t="inlineStr">
        <is>
          <t xml:space="preserve">Write 10 sentences about your routine</t>
        </is>
      </c>
      <c r="H8" s="4"/>
      <c r="I8" s="4"/>
      <c r="J8">
        <f>IF($I8="","",$I8+IF($H8=0,3,IF($H8=1,4,IF($H8=2,7,IF($H8=3,14,IF($H8=4,21,30))))))</f>
      </c>
      <c r="K8">
        <f>IF($I8="","Chưa học",IF($J8&lt;=TODAY(),"ĐẾN HẠN","Lịch"))</f>
      </c>
      <c r="L8">
        <f>IF($K8="ĐẾN HẠN",COUNTIF($K$2:$K8,"ĐẾN HẠN"),"")</f>
      </c>
      <c r="M8">
        <f>SUMPRODUCT(--ISNUMBER(SEARCH($A8,PLAN_180!$I$2:$I$181)))</f>
      </c>
    </row>
    <row r="9">
      <c r="A9" t="inlineStr">
        <is>
          <t xml:space="preserve">GA12</t>
        </is>
      </c>
      <c r="B9" t="inlineStr">
        <is>
          <t xml:space="preserve">A1</t>
        </is>
      </c>
      <c r="C9" s="3" t="inlineStr">
        <is>
          <t xml:space="preserve">Present Continuous</t>
        </is>
      </c>
      <c r="D9" s="3" t="inlineStr">
        <is>
          <t xml:space="preserve">be + V-ing</t>
        </is>
      </c>
      <c r="E9" s="3" t="inlineStr">
        <is>
          <t xml:space="preserve">I am studying now.</t>
        </is>
      </c>
      <c r="F9" s="3" t="inlineStr">
        <is>
          <t xml:space="preserve">Using present simple for right now: "I study now"</t>
        </is>
      </c>
      <c r="G9" s="3" t="inlineStr">
        <is>
          <t xml:space="preserve">Describe 10 actions happening now</t>
        </is>
      </c>
      <c r="H9" s="4"/>
      <c r="I9" s="4"/>
      <c r="J9">
        <f>IF($I9="","",$I9+IF($H9=0,3,IF($H9=1,4,IF($H9=2,7,IF($H9=3,14,IF($H9=4,21,30))))))</f>
      </c>
      <c r="K9">
        <f>IF($I9="","Chưa học",IF($J9&lt;=TODAY(),"ĐẾN HẠN","Lịch"))</f>
      </c>
      <c r="L9">
        <f>IF($K9="ĐẾN HẠN",COUNTIF($K$2:$K9,"ĐẾN HẠN"),"")</f>
      </c>
      <c r="M9">
        <f>SUMPRODUCT(--ISNUMBER(SEARCH($A9,PLAN_180!$I$2:$I$181)))</f>
      </c>
    </row>
    <row r="10">
      <c r="A10" t="inlineStr">
        <is>
          <t xml:space="preserve">GA13</t>
        </is>
      </c>
      <c r="B10" t="inlineStr">
        <is>
          <t xml:space="preserve">A1</t>
        </is>
      </c>
      <c r="C10" s="3" t="inlineStr">
        <is>
          <t xml:space="preserve">Past Simple</t>
        </is>
      </c>
      <c r="D10" s="3" t="inlineStr">
        <is>
          <t xml:space="preserve">S + V2; negative did not + V</t>
        </is>
      </c>
      <c r="E10" s="3" t="inlineStr">
        <is>
          <t xml:space="preserve">I visited Hue last week.</t>
        </is>
      </c>
      <c r="F10" s="3" t="inlineStr">
        <is>
          <t xml:space="preserve">Double past marking: "I didn't went"</t>
        </is>
      </c>
      <c r="G10" s="3" t="inlineStr">
        <is>
          <t xml:space="preserve">Tell a one-minute past story</t>
        </is>
      </c>
      <c r="H10" s="4"/>
      <c r="I10" s="4"/>
      <c r="J10">
        <f>IF($I10="","",$I10+IF($H10=0,3,IF($H10=1,4,IF($H10=2,7,IF($H10=3,14,IF($H10=4,21,30))))))</f>
      </c>
      <c r="K10">
        <f>IF($I10="","Chưa học",IF($J10&lt;=TODAY(),"ĐẾN HẠN","Lịch"))</f>
      </c>
      <c r="L10">
        <f>IF($K10="ĐẾN HẠN",COUNTIF($K$2:$K10,"ĐẾN HẠN"),"")</f>
      </c>
      <c r="M10">
        <f>SUMPRODUCT(--ISNUMBER(SEARCH($A10,PLAN_180!$I$2:$I$181)))</f>
      </c>
    </row>
    <row r="11">
      <c r="A11" t="inlineStr">
        <is>
          <t xml:space="preserve">GA14</t>
        </is>
      </c>
      <c r="B11" t="inlineStr">
        <is>
          <t xml:space="preserve">A1</t>
        </is>
      </c>
      <c r="C11" s="3" t="inlineStr">
        <is>
          <t xml:space="preserve">Future with going to</t>
        </is>
      </c>
      <c r="D11" s="3" t="inlineStr">
        <is>
          <t xml:space="preserve">be + going to + V</t>
        </is>
      </c>
      <c r="E11" s="3" t="inlineStr">
        <is>
          <t xml:space="preserve">I am going to study tonight.</t>
        </is>
      </c>
      <c r="F11" s="3" t="inlineStr">
        <is>
          <t xml:space="preserve">Missing BE: "I going to study"</t>
        </is>
      </c>
      <c r="G11" s="3" t="inlineStr">
        <is>
          <t xml:space="preserve">Talk about your weekend plans</t>
        </is>
      </c>
      <c r="H11" s="4"/>
      <c r="I11" s="4"/>
      <c r="J11">
        <f>IF($I11="","",$I11+IF($H11=0,3,IF($H11=1,4,IF($H11=2,7,IF($H11=3,14,IF($H11=4,21,30))))))</f>
      </c>
      <c r="K11">
        <f>IF($I11="","Chưa học",IF($J11&lt;=TODAY(),"ĐẾN HẠN","Lịch"))</f>
      </c>
      <c r="L11">
        <f>IF($K11="ĐẾN HẠN",COUNTIF($K$2:$K11,"ĐẾN HẠN"),"")</f>
      </c>
      <c r="M11">
        <f>SUMPRODUCT(--ISNUMBER(SEARCH($A11,PLAN_180!$I$2:$I$181)))</f>
      </c>
    </row>
    <row r="12">
      <c r="A12" t="inlineStr">
        <is>
          <t xml:space="preserve">GA15</t>
        </is>
      </c>
      <c r="B12" t="inlineStr">
        <is>
          <t xml:space="preserve">A1</t>
        </is>
      </c>
      <c r="C12" s="3" t="inlineStr">
        <is>
          <t xml:space="preserve">Can / Can't</t>
        </is>
      </c>
      <c r="D12" s="3" t="inlineStr">
        <is>
          <t xml:space="preserve">can + V (no to, no -s)</t>
        </is>
      </c>
      <c r="E12" s="3" t="inlineStr">
        <is>
          <t xml:space="preserve">She can swim, but she can't drive.</t>
        </is>
      </c>
      <c r="F12" s="3" t="inlineStr">
        <is>
          <t xml:space="preserve">Adding to: "She can to swim"</t>
        </is>
      </c>
      <c r="G12" s="3" t="inlineStr">
        <is>
          <t xml:space="preserve">Say 10 abilities and 10 inabilities</t>
        </is>
      </c>
      <c r="H12" s="4"/>
      <c r="I12" s="4"/>
      <c r="J12">
        <f>IF($I12="","",$I12+IF($H12=0,3,IF($H12=1,4,IF($H12=2,7,IF($H12=3,14,IF($H12=4,21,30))))))</f>
      </c>
      <c r="K12">
        <f>IF($I12="","Chưa học",IF($J12&lt;=TODAY(),"ĐẾN HẠN","Lịch"))</f>
      </c>
      <c r="L12">
        <f>IF($K12="ĐẾN HẠN",COUNTIF($K$2:$K12,"ĐẾN HẠN"),"")</f>
      </c>
      <c r="M12">
        <f>SUMPRODUCT(--ISNUMBER(SEARCH($A12,PLAN_180!$I$2:$I$181)))</f>
      </c>
    </row>
    <row r="13">
      <c r="A13" t="inlineStr">
        <is>
          <t xml:space="preserve">GA16</t>
        </is>
      </c>
      <c r="B13" t="inlineStr">
        <is>
          <t xml:space="preserve">A1</t>
        </is>
      </c>
      <c r="C13" s="3" t="inlineStr">
        <is>
          <t xml:space="preserve">Countable / Uncountable</t>
        </is>
      </c>
      <c r="D13" s="3" t="inlineStr">
        <is>
          <t xml:space="preserve">some / any / much / many / a few / a little</t>
        </is>
      </c>
      <c r="E13" s="3" t="inlineStr">
        <is>
          <t xml:space="preserve">I need some water and a few apples.</t>
        </is>
      </c>
      <c r="F13" s="3" t="inlineStr">
        <is>
          <t xml:space="preserve">many water / much books</t>
        </is>
      </c>
      <c r="G13" s="3" t="inlineStr">
        <is>
          <t xml:space="preserve">Sort 30 nouns and write 10 shopping lines</t>
        </is>
      </c>
      <c r="H13" s="4"/>
      <c r="I13" s="4"/>
      <c r="J13">
        <f>IF($I13="","",$I13+IF($H13=0,3,IF($H13=1,4,IF($H13=2,7,IF($H13=3,14,IF($H13=4,21,30))))))</f>
      </c>
      <c r="K13">
        <f>IF($I13="","Chưa học",IF($J13&lt;=TODAY(),"ĐẾN HẠN","Lịch"))</f>
      </c>
      <c r="L13">
        <f>IF($K13="ĐẾN HẠN",COUNTIF($K$2:$K13,"ĐẾN HẠN"),"")</f>
      </c>
      <c r="M13">
        <f>SUMPRODUCT(--ISNUMBER(SEARCH($A13,PLAN_180!$I$2:$I$181)))</f>
      </c>
    </row>
    <row r="14">
      <c r="A14" t="inlineStr">
        <is>
          <t xml:space="preserve">GA17</t>
        </is>
      </c>
      <c r="B14" t="inlineStr">
        <is>
          <t xml:space="preserve">A1</t>
        </is>
      </c>
      <c r="C14" s="3" t="inlineStr">
        <is>
          <t xml:space="preserve">Comparatives &amp; superlatives</t>
        </is>
      </c>
      <c r="D14" s="3" t="inlineStr">
        <is>
          <t xml:space="preserve">-er / more + adj; the -est / the most</t>
        </is>
      </c>
      <c r="E14" s="3" t="inlineStr">
        <is>
          <t xml:space="preserve">This phone is cheaper than that one.</t>
        </is>
      </c>
      <c r="F14" s="3" t="inlineStr">
        <is>
          <t xml:space="preserve">more + -er: "more cheaper"</t>
        </is>
      </c>
      <c r="G14" s="3" t="inlineStr">
        <is>
          <t xml:space="preserve">Compare 10 pairs of things</t>
        </is>
      </c>
      <c r="H14" s="4"/>
      <c r="I14" s="4"/>
      <c r="J14">
        <f>IF($I14="","",$I14+IF($H14=0,3,IF($H14=1,4,IF($H14=2,7,IF($H14=3,14,IF($H14=4,21,30))))))</f>
      </c>
      <c r="K14">
        <f>IF($I14="","Chưa học",IF($J14&lt;=TODAY(),"ĐẾN HẠN","Lịch"))</f>
      </c>
      <c r="L14">
        <f>IF($K14="ĐẾN HẠN",COUNTIF($K$2:$K14,"ĐẾN HẠN"),"")</f>
      </c>
      <c r="M14">
        <f>SUMPRODUCT(--ISNUMBER(SEARCH($A14,PLAN_180!$I$2:$I$181)))</f>
      </c>
    </row>
    <row r="15">
      <c r="A15" t="inlineStr">
        <is>
          <t xml:space="preserve">GA21</t>
        </is>
      </c>
      <c r="B15" t="inlineStr">
        <is>
          <t xml:space="preserve">A2</t>
        </is>
      </c>
      <c r="C15" s="3" t="inlineStr">
        <is>
          <t xml:space="preserve">Present Perfect</t>
        </is>
      </c>
      <c r="D15" s="3" t="inlineStr">
        <is>
          <t xml:space="preserve">have / has + V3; ever / never / since / for</t>
        </is>
      </c>
      <c r="E15" s="3" t="inlineStr">
        <is>
          <t xml:space="preserve">I have never been to Japan.</t>
        </is>
      </c>
      <c r="F15" s="3" t="inlineStr">
        <is>
          <t xml:space="preserve">Using a finished time: "I have been there last year"</t>
        </is>
      </c>
      <c r="G15" s="3" t="inlineStr">
        <is>
          <t xml:space="preserve">Experience interview, 15 questions</t>
        </is>
      </c>
      <c r="H15" s="4"/>
      <c r="I15" s="4"/>
      <c r="J15">
        <f>IF($I15="","",$I15+IF($H15=0,3,IF($H15=1,4,IF($H15=2,7,IF($H15=3,14,IF($H15=4,21,30))))))</f>
      </c>
      <c r="K15">
        <f>IF($I15="","Chưa học",IF($J15&lt;=TODAY(),"ĐẾN HẠN","Lịch"))</f>
      </c>
      <c r="L15">
        <f>IF($K15="ĐẾN HẠN",COUNTIF($K$2:$K15,"ĐẾN HẠN"),"")</f>
      </c>
      <c r="M15">
        <f>SUMPRODUCT(--ISNUMBER(SEARCH($A15,PLAN_180!$I$2:$I$181)))</f>
      </c>
    </row>
    <row r="16">
      <c r="A16" t="inlineStr">
        <is>
          <t xml:space="preserve">GA22</t>
        </is>
      </c>
      <c r="B16" t="inlineStr">
        <is>
          <t xml:space="preserve">A2</t>
        </is>
      </c>
      <c r="C16" s="3" t="inlineStr">
        <is>
          <t xml:space="preserve">Past Continuous</t>
        </is>
      </c>
      <c r="D16" s="3" t="inlineStr">
        <is>
          <t xml:space="preserve">was / were + V-ing</t>
        </is>
      </c>
      <c r="E16" s="3" t="inlineStr">
        <is>
          <t xml:space="preserve">I was cooking when she called.</t>
        </is>
      </c>
      <c r="F16" s="3" t="inlineStr">
        <is>
          <t xml:space="preserve">Using it for a completed action: "I was finished"</t>
        </is>
      </c>
      <c r="G16" s="3" t="inlineStr">
        <is>
          <t xml:space="preserve">Tell a story with 8 interruptions</t>
        </is>
      </c>
      <c r="H16" s="4"/>
      <c r="I16" s="4"/>
      <c r="J16">
        <f>IF($I16="","",$I16+IF($H16=0,3,IF($H16=1,4,IF($H16=2,7,IF($H16=3,14,IF($H16=4,21,30))))))</f>
      </c>
      <c r="K16">
        <f>IF($I16="","Chưa học",IF($J16&lt;=TODAY(),"ĐẾN HẠN","Lịch"))</f>
      </c>
      <c r="L16">
        <f>IF($K16="ĐẾN HẠN",COUNTIF($K$2:$K16,"ĐẾN HẠN"),"")</f>
      </c>
      <c r="M16">
        <f>SUMPRODUCT(--ISNUMBER(SEARCH($A16,PLAN_180!$I$2:$I$181)))</f>
      </c>
    </row>
    <row r="17">
      <c r="A17" t="inlineStr">
        <is>
          <t xml:space="preserve">GA23</t>
        </is>
      </c>
      <c r="B17" t="inlineStr">
        <is>
          <t xml:space="preserve">A2</t>
        </is>
      </c>
      <c r="C17" s="3" t="inlineStr">
        <is>
          <t xml:space="preserve">Will vs going to</t>
        </is>
      </c>
      <c r="D17" s="3" t="inlineStr">
        <is>
          <t xml:space="preserve">will + V (decision now), be going to + V (plan)</t>
        </is>
      </c>
      <c r="E17" s="3" t="inlineStr">
        <is>
          <t xml:space="preserve">I'll help you. / I'm going to move next month.</t>
        </is>
      </c>
      <c r="F17" s="3" t="inlineStr">
        <is>
          <t xml:space="preserve">will + to: "I will to go"</t>
        </is>
      </c>
      <c r="G17" s="3" t="inlineStr">
        <is>
          <t xml:space="preserve">Make 10 predictions and 10 plans</t>
        </is>
      </c>
      <c r="H17" s="4"/>
      <c r="I17" s="4"/>
      <c r="J17">
        <f>IF($I17="","",$I17+IF($H17=0,3,IF($H17=1,4,IF($H17=2,7,IF($H17=3,14,IF($H17=4,21,30))))))</f>
      </c>
      <c r="K17">
        <f>IF($I17="","Chưa học",IF($J17&lt;=TODAY(),"ĐẾN HẠN","Lịch"))</f>
      </c>
      <c r="L17">
        <f>IF($K17="ĐẾN HẠN",COUNTIF($K$2:$K17,"ĐẾN HẠN"),"")</f>
      </c>
      <c r="M17">
        <f>SUMPRODUCT(--ISNUMBER(SEARCH($A17,PLAN_180!$I$2:$I$181)))</f>
      </c>
    </row>
    <row r="18">
      <c r="A18" t="inlineStr">
        <is>
          <t xml:space="preserve">GA24</t>
        </is>
      </c>
      <c r="B18" t="inlineStr">
        <is>
          <t xml:space="preserve">A2</t>
        </is>
      </c>
      <c r="C18" s="3" t="inlineStr">
        <is>
          <t xml:space="preserve">First Conditional</t>
        </is>
      </c>
      <c r="D18" s="3" t="inlineStr">
        <is>
          <t xml:space="preserve">If + present simple, will + V</t>
        </is>
      </c>
      <c r="E18" s="3" t="inlineStr">
        <is>
          <t xml:space="preserve">If it rains, I will stay home.</t>
        </is>
      </c>
      <c r="F18" s="3" t="inlineStr">
        <is>
          <t xml:space="preserve">will inside the if-clause: "If it will rain"</t>
        </is>
      </c>
      <c r="G18" s="3" t="inlineStr">
        <is>
          <t xml:space="preserve">Write 15 cause-and-effect predictions</t>
        </is>
      </c>
      <c r="H18" s="4"/>
      <c r="I18" s="4"/>
      <c r="J18">
        <f>IF($I18="","",$I18+IF($H18=0,3,IF($H18=1,4,IF($H18=2,7,IF($H18=3,14,IF($H18=4,21,30))))))</f>
      </c>
      <c r="K18">
        <f>IF($I18="","Chưa học",IF($J18&lt;=TODAY(),"ĐẾN HẠN","Lịch"))</f>
      </c>
      <c r="L18">
        <f>IF($K18="ĐẾN HẠN",COUNTIF($K$2:$K18,"ĐẾN HẠN"),"")</f>
      </c>
      <c r="M18">
        <f>SUMPRODUCT(--ISNUMBER(SEARCH($A18,PLAN_180!$I$2:$I$181)))</f>
      </c>
    </row>
    <row r="19">
      <c r="A19" t="inlineStr">
        <is>
          <t xml:space="preserve">GA25</t>
        </is>
      </c>
      <c r="B19" t="inlineStr">
        <is>
          <t xml:space="preserve">A2</t>
        </is>
      </c>
      <c r="C19" s="3" t="inlineStr">
        <is>
          <t xml:space="preserve">Modal verbs: advice &amp; rules</t>
        </is>
      </c>
      <c r="D19" s="3" t="inlineStr">
        <is>
          <t xml:space="preserve">should / must / have to / might + V</t>
        </is>
      </c>
      <c r="E19" s="3" t="inlineStr">
        <is>
          <t xml:space="preserve">You should sleep more. You must wear a helmet.</t>
        </is>
      </c>
      <c r="F19" s="3" t="inlineStr">
        <is>
          <t xml:space="preserve">should to / must to</t>
        </is>
      </c>
      <c r="G19" s="3" t="inlineStr">
        <is>
          <t xml:space="preserve">Give 10 pieces of advice and 10 rules</t>
        </is>
      </c>
      <c r="H19" s="4"/>
      <c r="I19" s="4"/>
      <c r="J19">
        <f>IF($I19="","",$I19+IF($H19=0,3,IF($H19=1,4,IF($H19=2,7,IF($H19=3,14,IF($H19=4,21,30))))))</f>
      </c>
      <c r="K19">
        <f>IF($I19="","Chưa học",IF($J19&lt;=TODAY(),"ĐẾN HẠN","Lịch"))</f>
      </c>
      <c r="L19">
        <f>IF($K19="ĐẾN HẠN",COUNTIF($K$2:$K19,"ĐẾN HẠN"),"")</f>
      </c>
      <c r="M19">
        <f>SUMPRODUCT(--ISNUMBER(SEARCH($A19,PLAN_180!$I$2:$I$181)))</f>
      </c>
    </row>
    <row r="20">
      <c r="A20" t="inlineStr">
        <is>
          <t xml:space="preserve">GA26</t>
        </is>
      </c>
      <c r="B20" t="inlineStr">
        <is>
          <t xml:space="preserve">A2</t>
        </is>
      </c>
      <c r="C20" s="3" t="inlineStr">
        <is>
          <t xml:space="preserve">Passive basics</t>
        </is>
      </c>
      <c r="D20" s="3" t="inlineStr">
        <is>
          <t xml:space="preserve">be + V3 (present and past)</t>
        </is>
      </c>
      <c r="E20" s="3" t="inlineStr">
        <is>
          <t xml:space="preserve">The product is made in Vietnam.</t>
        </is>
      </c>
      <c r="F20" s="3" t="inlineStr">
        <is>
          <t xml:space="preserve">Wrong BE form: "The product made in Vietnam"</t>
        </is>
      </c>
      <c r="G20" s="3" t="inlineStr">
        <is>
          <t xml:space="preserve">Explain a process in 10 passive lines</t>
        </is>
      </c>
      <c r="H20" s="4"/>
      <c r="I20" s="4"/>
      <c r="J20">
        <f>IF($I20="","",$I20+IF($H20=0,3,IF($H20=1,4,IF($H20=2,7,IF($H20=3,14,IF($H20=4,21,30))))))</f>
      </c>
      <c r="K20">
        <f>IF($I20="","Chưa học",IF($J20&lt;=TODAY(),"ĐẾN HẠN","Lịch"))</f>
      </c>
      <c r="L20">
        <f>IF($K20="ĐẾN HẠN",COUNTIF($K$2:$K20,"ĐẾN HẠN"),"")</f>
      </c>
      <c r="M20">
        <f>SUMPRODUCT(--ISNUMBER(SEARCH($A20,PLAN_180!$I$2:$I$181)))</f>
      </c>
    </row>
    <row r="21">
      <c r="A21" t="inlineStr">
        <is>
          <t xml:space="preserve">GA27</t>
        </is>
      </c>
      <c r="B21" t="inlineStr">
        <is>
          <t xml:space="preserve">A2</t>
        </is>
      </c>
      <c r="C21" s="3" t="inlineStr">
        <is>
          <t xml:space="preserve">Linking ideas</t>
        </is>
      </c>
      <c r="D21" s="3" t="inlineStr">
        <is>
          <t xml:space="preserve">because / so / although / but</t>
        </is>
      </c>
      <c r="E21" s="3" t="inlineStr">
        <is>
          <t xml:space="preserve">I was tired, but I finished my homework.</t>
        </is>
      </c>
      <c r="F21" s="3" t="inlineStr">
        <is>
          <t xml:space="preserve">because + so in one sentence</t>
        </is>
      </c>
      <c r="G21" s="3" t="inlineStr">
        <is>
          <t xml:space="preserve">Join 20 sentence pairs</t>
        </is>
      </c>
      <c r="H21" s="4"/>
      <c r="I21" s="4"/>
      <c r="J21">
        <f>IF($I21="","",$I21+IF($H21=0,3,IF($H21=1,4,IF($H21=2,7,IF($H21=3,14,IF($H21=4,21,30))))))</f>
      </c>
      <c r="K21">
        <f>IF($I21="","Chưa học",IF($J21&lt;=TODAY(),"ĐẾN HẠN","Lịch"))</f>
      </c>
      <c r="L21">
        <f>IF($K21="ĐẾN HẠN",COUNTIF($K$2:$K21,"ĐẾN HẠN"),"")</f>
      </c>
      <c r="M21">
        <f>SUMPRODUCT(--ISNUMBER(SEARCH($A21,PLAN_180!$I$2:$I$181)))</f>
      </c>
    </row>
    <row r="22">
      <c r="A22" t="inlineStr">
        <is>
          <t xml:space="preserve">GB11</t>
        </is>
      </c>
      <c r="B22" t="inlineStr">
        <is>
          <t xml:space="preserve">B1</t>
        </is>
      </c>
      <c r="C22" s="3" t="inlineStr">
        <is>
          <t xml:space="preserve">Relative clauses</t>
        </is>
      </c>
      <c r="D22" s="3" t="inlineStr">
        <is>
          <t xml:space="preserve">who (people) / which (things) / that / where (places)</t>
        </is>
      </c>
      <c r="E22" s="3" t="inlineStr">
        <is>
          <t xml:space="preserve">The app that I use is free.</t>
        </is>
      </c>
      <c r="F22" s="3" t="inlineStr">
        <is>
          <t xml:space="preserve">Double subject: "The man who he called me"</t>
        </is>
      </c>
      <c r="G22" s="3" t="inlineStr">
        <is>
          <t xml:space="preserve">Combine 20 sentence pairs</t>
        </is>
      </c>
      <c r="H22" s="4"/>
      <c r="I22" s="4"/>
      <c r="J22">
        <f>IF($I22="","",$I22+IF($H22=0,3,IF($H22=1,4,IF($H22=2,7,IF($H22=3,14,IF($H22=4,21,30))))))</f>
      </c>
      <c r="K22">
        <f>IF($I22="","Chưa học",IF($J22&lt;=TODAY(),"ĐẾN HẠN","Lịch"))</f>
      </c>
      <c r="L22">
        <f>IF($K22="ĐẾN HẠN",COUNTIF($K$2:$K22,"ĐẾN HẠN"),"")</f>
      </c>
      <c r="M22">
        <f>SUMPRODUCT(--ISNUMBER(SEARCH($A22,PLAN_180!$I$2:$I$181)))</f>
      </c>
    </row>
    <row r="23">
      <c r="A23" t="inlineStr">
        <is>
          <t xml:space="preserve">GB12</t>
        </is>
      </c>
      <c r="B23" t="inlineStr">
        <is>
          <t xml:space="preserve">B1</t>
        </is>
      </c>
      <c r="C23" s="3" t="inlineStr">
        <is>
          <t xml:space="preserve">Reported speech</t>
        </is>
      </c>
      <c r="D23" s="3" t="inlineStr">
        <is>
          <t xml:space="preserve">said / told + clause, one tense back</t>
        </is>
      </c>
      <c r="E23" s="3" t="inlineStr">
        <is>
          <t xml:space="preserve">She said she was tired.</t>
        </is>
      </c>
      <c r="F23" s="3" t="inlineStr">
        <is>
          <t xml:space="preserve">Forgetting the backshift or the pronoun change</t>
        </is>
      </c>
      <c r="G23" s="3" t="inlineStr">
        <is>
          <t xml:space="preserve">Report a 10-line dialogue</t>
        </is>
      </c>
      <c r="H23" s="4"/>
      <c r="I23" s="4"/>
      <c r="J23">
        <f>IF($I23="","",$I23+IF($H23=0,3,IF($H23=1,4,IF($H23=2,7,IF($H23=3,14,IF($H23=4,21,30))))))</f>
      </c>
      <c r="K23">
        <f>IF($I23="","Chưa học",IF($J23&lt;=TODAY(),"ĐẾN HẠN","Lịch"))</f>
      </c>
      <c r="L23">
        <f>IF($K23="ĐẾN HẠN",COUNTIF($K$2:$K23,"ĐẾN HẠN"),"")</f>
      </c>
      <c r="M23">
        <f>SUMPRODUCT(--ISNUMBER(SEARCH($A23,PLAN_180!$I$2:$I$181)))</f>
      </c>
    </row>
    <row r="24">
      <c r="A24" t="inlineStr">
        <is>
          <t xml:space="preserve">GB13</t>
        </is>
      </c>
      <c r="B24" t="inlineStr">
        <is>
          <t xml:space="preserve">B1</t>
        </is>
      </c>
      <c r="C24" s="3" t="inlineStr">
        <is>
          <t xml:space="preserve">Second Conditional</t>
        </is>
      </c>
      <c r="D24" s="3" t="inlineStr">
        <is>
          <t xml:space="preserve">If + past simple, would + V</t>
        </is>
      </c>
      <c r="E24" s="3" t="inlineStr">
        <is>
          <t xml:space="preserve">If I had more time, I would travel.</t>
        </is>
      </c>
      <c r="F24" s="3" t="inlineStr">
        <is>
          <t xml:space="preserve">would inside the if-clause</t>
        </is>
      </c>
      <c r="G24" s="3" t="inlineStr">
        <is>
          <t xml:space="preserve">Discuss 10 hypothetical scenarios</t>
        </is>
      </c>
      <c r="H24" s="4"/>
      <c r="I24" s="4"/>
      <c r="J24">
        <f>IF($I24="","",$I24+IF($H24=0,3,IF($H24=1,4,IF($H24=2,7,IF($H24=3,14,IF($H24=4,21,30))))))</f>
      </c>
      <c r="K24">
        <f>IF($I24="","Chưa học",IF($J24&lt;=TODAY(),"ĐẾN HẠN","Lịch"))</f>
      </c>
      <c r="L24">
        <f>IF($K24="ĐẾN HẠN",COUNTIF($K$2:$K24,"ĐẾN HẠN"),"")</f>
      </c>
      <c r="M24">
        <f>SUMPRODUCT(--ISNUMBER(SEARCH($A24,PLAN_180!$I$2:$I$181)))</f>
      </c>
    </row>
    <row r="25">
      <c r="A25" t="inlineStr">
        <is>
          <t xml:space="preserve">GB14</t>
        </is>
      </c>
      <c r="B25" t="inlineStr">
        <is>
          <t xml:space="preserve">B1</t>
        </is>
      </c>
      <c r="C25" s="3" t="inlineStr">
        <is>
          <t xml:space="preserve">Gerunds &amp; infinitives</t>
        </is>
      </c>
      <c r="D25" s="3" t="inlineStr">
        <is>
          <t xml:space="preserve">like / enjoy + V-ing, want / decide + to V</t>
        </is>
      </c>
      <c r="E25" s="3" t="inlineStr">
        <is>
          <t xml:space="preserve">I enjoy studying, and I want to improve.</t>
        </is>
      </c>
      <c r="F25" s="3" t="inlineStr">
        <is>
          <t xml:space="preserve">want studying / enjoy to study</t>
        </is>
      </c>
      <c r="G25" s="3" t="inlineStr">
        <is>
          <t xml:space="preserve">Sort 30 verb patterns</t>
        </is>
      </c>
      <c r="H25" s="4"/>
      <c r="I25" s="4"/>
      <c r="J25">
        <f>IF($I25="","",$I25+IF($H25=0,3,IF($H25=1,4,IF($H25=2,7,IF($H25=3,14,IF($H25=4,21,30))))))</f>
      </c>
      <c r="K25">
        <f>IF($I25="","Chưa học",IF($J25&lt;=TODAY(),"ĐẾN HẠN","Lịch"))</f>
      </c>
      <c r="L25">
        <f>IF($K25="ĐẾN HẠN",COUNTIF($K$2:$K25,"ĐẾN HẠN"),"")</f>
      </c>
      <c r="M25">
        <f>SUMPRODUCT(--ISNUMBER(SEARCH($A25,PLAN_180!$I$2:$I$181)))</f>
      </c>
    </row>
    <row r="26">
      <c r="A26" t="inlineStr">
        <is>
          <t xml:space="preserve">GB15</t>
        </is>
      </c>
      <c r="B26" t="inlineStr">
        <is>
          <t xml:space="preserve">B1</t>
        </is>
      </c>
      <c r="C26" s="3" t="inlineStr">
        <is>
          <t xml:space="preserve">Linking phrases for speaking &amp; writing</t>
        </is>
      </c>
      <c r="D26" s="3" t="inlineStr">
        <is>
          <t xml:space="preserve">first of all / however / in addition / to sum up</t>
        </is>
      </c>
      <c r="E26" s="3" t="inlineStr">
        <is>
          <t xml:space="preserve">First of all, let me explain the problem.</t>
        </is>
      </c>
      <c r="F26" s="3" t="inlineStr">
        <is>
          <t xml:space="preserve">Listing ideas with no connectors at all</t>
        </is>
      </c>
      <c r="G26" s="3" t="inlineStr">
        <is>
          <t xml:space="preserve">Outline and deliver a 2-minute talk</t>
        </is>
      </c>
      <c r="H26" s="4"/>
      <c r="I26" s="4"/>
      <c r="J26">
        <f>IF($I26="","",$I26+IF($H26=0,3,IF($H26=1,4,IF($H26=2,7,IF($H26=3,14,IF($H26=4,21,30))))))</f>
      </c>
      <c r="K26">
        <f>IF($I26="","Chưa học",IF($J26&lt;=TODAY(),"ĐẾN HẠN","Lịch"))</f>
      </c>
      <c r="L26">
        <f>IF($K26="ĐẾN HẠN",COUNTIF($K$2:$K26,"ĐẾN HẠN"),"")</f>
      </c>
      <c r="M26">
        <f>SUMPRODUCT(--ISNUMBER(SEARCH($A26,PLAN_180!$I$2:$I$181)))</f>
      </c>
    </row>
  </sheetData>
  <autoFilter ref="A1:M26"/>
  <dataValidations count="1">
    <dataValidation type="list" allowBlank="1" showInputMessage="1" showErrorMessage="1" sqref="H2:H26">
      <formula1>"0,1,2,3,4,5"</formula1>
    </dataValidation>
  </dataValidations>
  <pageMargins left="0.4" right="0.4" top="0.6" bottom="0.6" header="0.3" footer="0.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7" customWidth="1"/>
    <col min="3" max="3" width="15" customWidth="1"/>
    <col min="4" max="4" width="26" customWidth="1"/>
    <col min="5" max="5" width="14" customWidth="1"/>
    <col min="6" max="6" width="24" customWidth="1"/>
    <col min="7" max="7" width="22" customWidth="1"/>
    <col min="8" max="8" width="24" customWidth="1"/>
    <col min="9" max="9" width="20" customWidth="1"/>
    <col min="10" max="10" width="24" customWidth="1"/>
    <col min="11" max="11" width="8" customWidth="1"/>
    <col min="12" max="12" width="12" customWidth="1"/>
    <col min="13" max="13" width="13" customWidth="1"/>
  </cols>
  <sheetData>
    <row r="1">
      <c r="A1" s="1" t="inlineStr">
        <is>
          <t xml:space="preserve">ID</t>
        </is>
      </c>
      <c r="B1" s="1" t="inlineStr">
        <is>
          <t xml:space="preserve">Level</t>
        </is>
      </c>
      <c r="C1" s="1" t="inlineStr">
        <is>
          <t xml:space="preserve">Module</t>
        </is>
      </c>
      <c r="D1" s="1" t="inlineStr">
        <is>
          <t xml:space="preserve">Chủ đề</t>
        </is>
      </c>
      <c r="E1" s="1" t="inlineStr">
        <is>
          <t xml:space="preserve">Ngữ pháp</t>
        </is>
      </c>
      <c r="F1" s="1" t="inlineStr">
        <is>
          <t xml:space="preserve">Từ vựng trọng tâm</t>
        </is>
      </c>
      <c r="G1" s="1" t="inlineStr">
        <is>
          <t xml:space="preserve">Nghe</t>
        </is>
      </c>
      <c r="H1" s="1" t="inlineStr">
        <is>
          <t xml:space="preserve">Nói</t>
        </is>
      </c>
      <c r="I1" s="1" t="inlineStr">
        <is>
          <t xml:space="preserve">Đọc</t>
        </is>
      </c>
      <c r="J1" s="1" t="inlineStr">
        <is>
          <t xml:space="preserve">Viết</t>
        </is>
      </c>
      <c r="K1" s="1" t="inlineStr">
        <is>
          <t xml:space="preserve">Ưu tiên</t>
        </is>
      </c>
      <c r="L1" s="1" t="inlineStr">
        <is>
          <t xml:space="preserve">Số ngày trong lịch</t>
        </is>
      </c>
      <c r="M1" s="1" t="inlineStr">
        <is>
          <t xml:space="preserve">Số ngày đã xong</t>
        </is>
      </c>
    </row>
    <row r="2">
      <c r="A2" t="inlineStr">
        <is>
          <t xml:space="preserve">A0-001</t>
        </is>
      </c>
      <c r="B2" t="inlineStr">
        <is>
          <t xml:space="preserve">A0</t>
        </is>
      </c>
      <c r="C2" t="inlineStr">
        <is>
          <t xml:space="preserve">Foundation</t>
        </is>
      </c>
      <c r="D2" s="3" t="inlineStr">
        <is>
          <t xml:space="preserve">Alphabet &amp; spelling</t>
        </is>
      </c>
      <c r="E2" t="inlineStr">
        <is>
          <t xml:space="preserve">—</t>
        </is>
      </c>
      <c r="F2" s="3" t="inlineStr">
        <is>
          <t xml:space="preserve">alphabet, letter names</t>
        </is>
      </c>
      <c r="G2" s="3" t="inlineStr">
        <is>
          <t xml:space="preserve">letter sounds</t>
        </is>
      </c>
      <c r="H2" s="3" t="inlineStr">
        <is>
          <t xml:space="preserve">spell your name</t>
        </is>
      </c>
      <c r="I2" s="3" t="inlineStr">
        <is>
          <t xml:space="preserve">read letters</t>
        </is>
      </c>
      <c r="J2" s="3" t="inlineStr">
        <is>
          <t xml:space="preserve">write the alphabet</t>
        </is>
      </c>
      <c r="K2" t="inlineStr">
        <is>
          <t xml:space="preserve">P1</t>
        </is>
      </c>
      <c r="L2">
        <f>COUNTIF(PLAN_180!$G$2:$G$181,$A2)</f>
      </c>
      <c r="M2">
        <f>COUNTIFS(PLAN_180!$G$2:$G$181,$A2,PROGRESS!$E$2:$E$181,"Yes")</f>
      </c>
    </row>
    <row r="3">
      <c r="A3" t="inlineStr">
        <is>
          <t xml:space="preserve">A0-002</t>
        </is>
      </c>
      <c r="B3" t="inlineStr">
        <is>
          <t xml:space="preserve">A0</t>
        </is>
      </c>
      <c r="C3" t="inlineStr">
        <is>
          <t xml:space="preserve">Pronunciation</t>
        </is>
      </c>
      <c r="D3" s="3" t="inlineStr">
        <is>
          <t xml:space="preserve">Vowels &amp; consonants</t>
        </is>
      </c>
      <c r="E3" t="inlineStr">
        <is>
          <t xml:space="preserve">—</t>
        </is>
      </c>
      <c r="F3" s="3" t="inlineStr">
        <is>
          <t xml:space="preserve">basic sound words</t>
        </is>
      </c>
      <c r="G3" s="3" t="inlineStr">
        <is>
          <t xml:space="preserve">identify sounds</t>
        </is>
      </c>
      <c r="H3" s="3" t="inlineStr">
        <is>
          <t xml:space="preserve">repeat sounds</t>
        </is>
      </c>
      <c r="I3" s="3" t="inlineStr">
        <is>
          <t xml:space="preserve">sound recognition</t>
        </is>
      </c>
      <c r="J3" s="3" t="inlineStr">
        <is>
          <t xml:space="preserve">—</t>
        </is>
      </c>
      <c r="K3" t="inlineStr">
        <is>
          <t xml:space="preserve">P1</t>
        </is>
      </c>
      <c r="L3">
        <f>COUNTIF(PLAN_180!$G$2:$G$181,$A3)</f>
      </c>
      <c r="M3">
        <f>COUNTIFS(PLAN_180!$G$2:$G$181,$A3,PROGRESS!$E$2:$E$181,"Yes")</f>
      </c>
    </row>
    <row r="4">
      <c r="A4" t="inlineStr">
        <is>
          <t xml:space="preserve">A0-003</t>
        </is>
      </c>
      <c r="B4" t="inlineStr">
        <is>
          <t xml:space="preserve">A0</t>
        </is>
      </c>
      <c r="C4" t="inlineStr">
        <is>
          <t xml:space="preserve">Vocabulary</t>
        </is>
      </c>
      <c r="D4" s="3" t="inlineStr">
        <is>
          <t xml:space="preserve">Numbers &amp; time</t>
        </is>
      </c>
      <c r="E4" t="inlineStr">
        <is>
          <t xml:space="preserve">—</t>
        </is>
      </c>
      <c r="F4" s="3" t="inlineStr">
        <is>
          <t xml:space="preserve">numbers, clock, days</t>
        </is>
      </c>
      <c r="G4" s="3" t="inlineStr">
        <is>
          <t xml:space="preserve">short number audio</t>
        </is>
      </c>
      <c r="H4" s="3" t="inlineStr">
        <is>
          <t xml:space="preserve">say the time</t>
        </is>
      </c>
      <c r="I4" s="3" t="inlineStr">
        <is>
          <t xml:space="preserve">read numbers</t>
        </is>
      </c>
      <c r="J4" s="3" t="inlineStr">
        <is>
          <t xml:space="preserve">write numbers</t>
        </is>
      </c>
      <c r="K4" t="inlineStr">
        <is>
          <t xml:space="preserve">P1</t>
        </is>
      </c>
      <c r="L4">
        <f>COUNTIF(PLAN_180!$G$2:$G$181,$A4)</f>
      </c>
      <c r="M4">
        <f>COUNTIFS(PLAN_180!$G$2:$G$181,$A4,PROGRESS!$E$2:$E$181,"Yes")</f>
      </c>
    </row>
    <row r="5">
      <c r="A5" t="inlineStr">
        <is>
          <t xml:space="preserve">A0-004</t>
        </is>
      </c>
      <c r="B5" t="inlineStr">
        <is>
          <t xml:space="preserve">A0</t>
        </is>
      </c>
      <c r="C5" t="inlineStr">
        <is>
          <t xml:space="preserve">Communication</t>
        </is>
      </c>
      <c r="D5" s="3" t="inlineStr">
        <is>
          <t xml:space="preserve">Greetings &amp; introductions</t>
        </is>
      </c>
      <c r="E5" t="inlineStr">
        <is>
          <t xml:space="preserve">GA01 Verb BE</t>
        </is>
      </c>
      <c r="F5" s="3" t="inlineStr">
        <is>
          <t xml:space="preserve">hello, name, country</t>
        </is>
      </c>
      <c r="G5" s="3" t="inlineStr">
        <is>
          <t xml:space="preserve">intro dialogue</t>
        </is>
      </c>
      <c r="H5" s="3" t="inlineStr">
        <is>
          <t xml:space="preserve">introduce yourself</t>
        </is>
      </c>
      <c r="I5" s="3" t="inlineStr">
        <is>
          <t xml:space="preserve">read a mini dialogue</t>
        </is>
      </c>
      <c r="J5" s="3" t="inlineStr">
        <is>
          <t xml:space="preserve">write an introduction</t>
        </is>
      </c>
      <c r="K5" t="inlineStr">
        <is>
          <t xml:space="preserve">P1</t>
        </is>
      </c>
      <c r="L5">
        <f>COUNTIF(PLAN_180!$G$2:$G$181,$A5)</f>
      </c>
      <c r="M5">
        <f>COUNTIFS(PLAN_180!$G$2:$G$181,$A5,PROGRESS!$E$2:$E$181,"Yes")</f>
      </c>
    </row>
    <row r="6">
      <c r="A6" t="inlineStr">
        <is>
          <t xml:space="preserve">A0-005</t>
        </is>
      </c>
      <c r="B6" t="inlineStr">
        <is>
          <t xml:space="preserve">A0</t>
        </is>
      </c>
      <c r="C6" t="inlineStr">
        <is>
          <t xml:space="preserve">Grammar</t>
        </is>
      </c>
      <c r="D6" s="3" t="inlineStr">
        <is>
          <t xml:space="preserve">Pronouns &amp; BE</t>
        </is>
      </c>
      <c r="E6" t="inlineStr">
        <is>
          <t xml:space="preserve">GA01 Verb BE; GA02 Subject pronouns</t>
        </is>
      </c>
      <c r="F6" s="3" t="inlineStr">
        <is>
          <t xml:space="preserve">I, you, he, she, we, they</t>
        </is>
      </c>
      <c r="G6" s="3" t="inlineStr">
        <is>
          <t xml:space="preserve">BE sentences</t>
        </is>
      </c>
      <c r="H6" s="3" t="inlineStr">
        <is>
          <t xml:space="preserve">make 10 sentences</t>
        </is>
      </c>
      <c r="I6" s="3" t="inlineStr">
        <is>
          <t xml:space="preserve">read sentences</t>
        </is>
      </c>
      <c r="J6" s="3" t="inlineStr">
        <is>
          <t xml:space="preserve">write 10 sentences</t>
        </is>
      </c>
      <c r="K6" t="inlineStr">
        <is>
          <t xml:space="preserve">P1</t>
        </is>
      </c>
      <c r="L6">
        <f>COUNTIF(PLAN_180!$G$2:$G$181,$A6)</f>
      </c>
      <c r="M6">
        <f>COUNTIFS(PLAN_180!$G$2:$G$181,$A6,PROGRESS!$E$2:$E$181,"Yes")</f>
      </c>
    </row>
    <row r="7">
      <c r="A7" t="inlineStr">
        <is>
          <t xml:space="preserve">A0-006</t>
        </is>
      </c>
      <c r="B7" t="inlineStr">
        <is>
          <t xml:space="preserve">A0</t>
        </is>
      </c>
      <c r="C7" t="inlineStr">
        <is>
          <t xml:space="preserve">Grammar</t>
        </is>
      </c>
      <c r="D7" s="3" t="inlineStr">
        <is>
          <t xml:space="preserve">This / That / These / Those</t>
        </is>
      </c>
      <c r="E7" t="inlineStr">
        <is>
          <t xml:space="preserve">GA04 This / That / These / Those</t>
        </is>
      </c>
      <c r="F7" s="3" t="inlineStr">
        <is>
          <t xml:space="preserve">everyday objects</t>
        </is>
      </c>
      <c r="G7" s="3" t="inlineStr">
        <is>
          <t xml:space="preserve">object descriptions</t>
        </is>
      </c>
      <c r="H7" s="3" t="inlineStr">
        <is>
          <t xml:space="preserve">point and name</t>
        </is>
      </c>
      <c r="I7" s="3" t="inlineStr">
        <is>
          <t xml:space="preserve">short text</t>
        </is>
      </c>
      <c r="J7" s="3" t="inlineStr">
        <is>
          <t xml:space="preserve">write labels</t>
        </is>
      </c>
      <c r="K7" t="inlineStr">
        <is>
          <t xml:space="preserve">P1</t>
        </is>
      </c>
      <c r="L7">
        <f>COUNTIF(PLAN_180!$G$2:$G$181,$A7)</f>
      </c>
      <c r="M7">
        <f>COUNTIFS(PLAN_180!$G$2:$G$181,$A7,PROGRESS!$E$2:$E$181,"Yes")</f>
      </c>
    </row>
    <row r="8">
      <c r="A8" t="inlineStr">
        <is>
          <t xml:space="preserve">A0-007</t>
        </is>
      </c>
      <c r="B8" t="inlineStr">
        <is>
          <t xml:space="preserve">A0</t>
        </is>
      </c>
      <c r="C8" t="inlineStr">
        <is>
          <t xml:space="preserve">Grammar</t>
        </is>
      </c>
      <c r="D8" s="3" t="inlineStr">
        <is>
          <t xml:space="preserve">There is / There are</t>
        </is>
      </c>
      <c r="E8" t="inlineStr">
        <is>
          <t xml:space="preserve">GA05 There is / There are</t>
        </is>
      </c>
      <c r="F8" s="3" t="inlineStr">
        <is>
          <t xml:space="preserve">room &amp; place words</t>
        </is>
      </c>
      <c r="G8" s="3" t="inlineStr">
        <is>
          <t xml:space="preserve">descriptions</t>
        </is>
      </c>
      <c r="H8" s="3" t="inlineStr">
        <is>
          <t xml:space="preserve">describe your room</t>
        </is>
      </c>
      <c r="I8" s="3" t="inlineStr">
        <is>
          <t xml:space="preserve">room text</t>
        </is>
      </c>
      <c r="J8" s="3" t="inlineStr">
        <is>
          <t xml:space="preserve">room description</t>
        </is>
      </c>
      <c r="K8" t="inlineStr">
        <is>
          <t xml:space="preserve">P1</t>
        </is>
      </c>
      <c r="L8">
        <f>COUNTIF(PLAN_180!$G$2:$G$181,$A8)</f>
      </c>
      <c r="M8">
        <f>COUNTIFS(PLAN_180!$G$2:$G$181,$A8,PROGRESS!$E$2:$E$181,"Yes")</f>
      </c>
    </row>
    <row r="9">
      <c r="A9" t="inlineStr">
        <is>
          <t xml:space="preserve">A0-008</t>
        </is>
      </c>
      <c r="B9" t="inlineStr">
        <is>
          <t xml:space="preserve">A0</t>
        </is>
      </c>
      <c r="C9" t="inlineStr">
        <is>
          <t xml:space="preserve">Communication</t>
        </is>
      </c>
      <c r="D9" s="3" t="inlineStr">
        <is>
          <t xml:space="preserve">Family &amp; people</t>
        </is>
      </c>
      <c r="E9" t="inlineStr">
        <is>
          <t xml:space="preserve">GA03 Possessive adjectives</t>
        </is>
      </c>
      <c r="F9" s="3" t="inlineStr">
        <is>
          <t xml:space="preserve">family, jobs, adjectives</t>
        </is>
      </c>
      <c r="G9" s="3" t="inlineStr">
        <is>
          <t xml:space="preserve">family dialogue</t>
        </is>
      </c>
      <c r="H9" s="3" t="inlineStr">
        <is>
          <t xml:space="preserve">describe your family</t>
        </is>
      </c>
      <c r="I9" s="3" t="inlineStr">
        <is>
          <t xml:space="preserve">short profile</t>
        </is>
      </c>
      <c r="J9" s="3" t="inlineStr">
        <is>
          <t xml:space="preserve">write a profile</t>
        </is>
      </c>
      <c r="K9" t="inlineStr">
        <is>
          <t xml:space="preserve">P1</t>
        </is>
      </c>
      <c r="L9">
        <f>COUNTIF(PLAN_180!$G$2:$G$181,$A9)</f>
      </c>
      <c r="M9">
        <f>COUNTIFS(PLAN_180!$G$2:$G$181,$A9,PROGRESS!$E$2:$E$181,"Yes")</f>
      </c>
    </row>
    <row r="10">
      <c r="A10" t="inlineStr">
        <is>
          <t xml:space="preserve">A0-009</t>
        </is>
      </c>
      <c r="B10" t="inlineStr">
        <is>
          <t xml:space="preserve">A0</t>
        </is>
      </c>
      <c r="C10" t="inlineStr">
        <is>
          <t xml:space="preserve">Vocabulary</t>
        </is>
      </c>
      <c r="D10" s="3" t="inlineStr">
        <is>
          <t xml:space="preserve">Food &amp; drinks</t>
        </is>
      </c>
      <c r="E10" t="inlineStr">
        <is>
          <t xml:space="preserve">—</t>
        </is>
      </c>
      <c r="F10" s="3" t="inlineStr">
        <is>
          <t xml:space="preserve">common food and drinks</t>
        </is>
      </c>
      <c r="G10" s="3" t="inlineStr">
        <is>
          <t xml:space="preserve">restaurant phrases</t>
        </is>
      </c>
      <c r="H10" s="3" t="inlineStr">
        <is>
          <t xml:space="preserve">order food</t>
        </is>
      </c>
      <c r="I10" s="3" t="inlineStr">
        <is>
          <t xml:space="preserve">menu reading</t>
        </is>
      </c>
      <c r="J10" s="3" t="inlineStr">
        <is>
          <t xml:space="preserve">a simple order</t>
        </is>
      </c>
      <c r="K10" t="inlineStr">
        <is>
          <t xml:space="preserve">P1</t>
        </is>
      </c>
      <c r="L10">
        <f>COUNTIF(PLAN_180!$G$2:$G$181,$A10)</f>
      </c>
      <c r="M10">
        <f>COUNTIFS(PLAN_180!$G$2:$G$181,$A10,PROGRESS!$E$2:$E$181,"Yes")</f>
      </c>
    </row>
    <row r="11">
      <c r="A11" t="inlineStr">
        <is>
          <t xml:space="preserve">A0-010</t>
        </is>
      </c>
      <c r="B11" t="inlineStr">
        <is>
          <t xml:space="preserve">A0</t>
        </is>
      </c>
      <c r="C11" t="inlineStr">
        <is>
          <t xml:space="preserve">Grammar</t>
        </is>
      </c>
      <c r="D11" s="3" t="inlineStr">
        <is>
          <t xml:space="preserve">Basic questions</t>
        </is>
      </c>
      <c r="E11" t="inlineStr">
        <is>
          <t xml:space="preserve">GA06 Wh- questions</t>
        </is>
      </c>
      <c r="F11" s="3" t="inlineStr">
        <is>
          <t xml:space="preserve">question words</t>
        </is>
      </c>
      <c r="G11" s="3" t="inlineStr">
        <is>
          <t xml:space="preserve">Q&amp;A</t>
        </is>
      </c>
      <c r="H11" s="3" t="inlineStr">
        <is>
          <t xml:space="preserve">ask and answer</t>
        </is>
      </c>
      <c r="I11" s="3" t="inlineStr">
        <is>
          <t xml:space="preserve">read Q&amp;A</t>
        </is>
      </c>
      <c r="J11" s="3" t="inlineStr">
        <is>
          <t xml:space="preserve">write questions</t>
        </is>
      </c>
      <c r="K11" t="inlineStr">
        <is>
          <t xml:space="preserve">P1</t>
        </is>
      </c>
      <c r="L11">
        <f>COUNTIF(PLAN_180!$G$2:$G$181,$A11)</f>
      </c>
      <c r="M11">
        <f>COUNTIFS(PLAN_180!$G$2:$G$181,$A11,PROGRESS!$E$2:$E$181,"Yes")</f>
      </c>
    </row>
    <row r="12">
      <c r="A12" t="inlineStr">
        <is>
          <t xml:space="preserve">A1-011</t>
        </is>
      </c>
      <c r="B12" t="inlineStr">
        <is>
          <t xml:space="preserve">A1</t>
        </is>
      </c>
      <c r="C12" t="inlineStr">
        <is>
          <t xml:space="preserve">Grammar</t>
        </is>
      </c>
      <c r="D12" s="3" t="inlineStr">
        <is>
          <t xml:space="preserve">Present Simple</t>
        </is>
      </c>
      <c r="E12" t="inlineStr">
        <is>
          <t xml:space="preserve">GA11 Present Simple</t>
        </is>
      </c>
      <c r="F12" s="3" t="inlineStr">
        <is>
          <t xml:space="preserve">daily routine</t>
        </is>
      </c>
      <c r="G12" s="3" t="inlineStr">
        <is>
          <t xml:space="preserve">routine audio</t>
        </is>
      </c>
      <c r="H12" s="3" t="inlineStr">
        <is>
          <t xml:space="preserve">talk about your routine</t>
        </is>
      </c>
      <c r="I12" s="3" t="inlineStr">
        <is>
          <t xml:space="preserve">daily text</t>
        </is>
      </c>
      <c r="J12" s="3" t="inlineStr">
        <is>
          <t xml:space="preserve">routine paragraph</t>
        </is>
      </c>
      <c r="K12" t="inlineStr">
        <is>
          <t xml:space="preserve">P1</t>
        </is>
      </c>
      <c r="L12">
        <f>COUNTIF(PLAN_180!$G$2:$G$181,$A12)</f>
      </c>
      <c r="M12">
        <f>COUNTIFS(PLAN_180!$G$2:$G$181,$A12,PROGRESS!$E$2:$E$181,"Yes")</f>
      </c>
    </row>
    <row r="13">
      <c r="A13" t="inlineStr">
        <is>
          <t xml:space="preserve">A1-012</t>
        </is>
      </c>
      <c r="B13" t="inlineStr">
        <is>
          <t xml:space="preserve">A1</t>
        </is>
      </c>
      <c r="C13" t="inlineStr">
        <is>
          <t xml:space="preserve">Grammar</t>
        </is>
      </c>
      <c r="D13" s="3" t="inlineStr">
        <is>
          <t xml:space="preserve">Present Continuous</t>
        </is>
      </c>
      <c r="E13" t="inlineStr">
        <is>
          <t xml:space="preserve">GA12 Present Continuous</t>
        </is>
      </c>
      <c r="F13" s="3" t="inlineStr">
        <is>
          <t xml:space="preserve">activities</t>
        </is>
      </c>
      <c r="G13" s="3" t="inlineStr">
        <is>
          <t xml:space="preserve">activity audio</t>
        </is>
      </c>
      <c r="H13" s="3" t="inlineStr">
        <is>
          <t xml:space="preserve">describe what is happening now</t>
        </is>
      </c>
      <c r="I13" s="3" t="inlineStr">
        <is>
          <t xml:space="preserve">short story</t>
        </is>
      </c>
      <c r="J13" s="3" t="inlineStr">
        <is>
          <t xml:space="preserve">current activity</t>
        </is>
      </c>
      <c r="K13" t="inlineStr">
        <is>
          <t xml:space="preserve">P1</t>
        </is>
      </c>
      <c r="L13">
        <f>COUNTIF(PLAN_180!$G$2:$G$181,$A13)</f>
      </c>
      <c r="M13">
        <f>COUNTIFS(PLAN_180!$G$2:$G$181,$A13,PROGRESS!$E$2:$E$181,"Yes")</f>
      </c>
    </row>
    <row r="14">
      <c r="A14" t="inlineStr">
        <is>
          <t xml:space="preserve">A1-013</t>
        </is>
      </c>
      <c r="B14" t="inlineStr">
        <is>
          <t xml:space="preserve">A1</t>
        </is>
      </c>
      <c r="C14" t="inlineStr">
        <is>
          <t xml:space="preserve">Grammar</t>
        </is>
      </c>
      <c r="D14" s="3" t="inlineStr">
        <is>
          <t xml:space="preserve">Past Simple</t>
        </is>
      </c>
      <c r="E14" t="inlineStr">
        <is>
          <t xml:space="preserve">GA13 Past Simple</t>
        </is>
      </c>
      <c r="F14" s="3" t="inlineStr">
        <is>
          <t xml:space="preserve">yesterday, weekend</t>
        </is>
      </c>
      <c r="G14" s="3" t="inlineStr">
        <is>
          <t xml:space="preserve">past dialogue</t>
        </is>
      </c>
      <c r="H14" s="3" t="inlineStr">
        <is>
          <t xml:space="preserve">tell a past event</t>
        </is>
      </c>
      <c r="I14" s="3" t="inlineStr">
        <is>
          <t xml:space="preserve">short story</t>
        </is>
      </c>
      <c r="J14" s="3" t="inlineStr">
        <is>
          <t xml:space="preserve">write about your weekend</t>
        </is>
      </c>
      <c r="K14" t="inlineStr">
        <is>
          <t xml:space="preserve">P1</t>
        </is>
      </c>
      <c r="L14">
        <f>COUNTIF(PLAN_180!$G$2:$G$181,$A14)</f>
      </c>
      <c r="M14">
        <f>COUNTIFS(PLAN_180!$G$2:$G$181,$A14,PROGRESS!$E$2:$E$181,"Yes")</f>
      </c>
    </row>
    <row r="15">
      <c r="A15" t="inlineStr">
        <is>
          <t xml:space="preserve">A1-014</t>
        </is>
      </c>
      <c r="B15" t="inlineStr">
        <is>
          <t xml:space="preserve">A1</t>
        </is>
      </c>
      <c r="C15" t="inlineStr">
        <is>
          <t xml:space="preserve">Grammar</t>
        </is>
      </c>
      <c r="D15" s="3" t="inlineStr">
        <is>
          <t xml:space="preserve">Future with going to</t>
        </is>
      </c>
      <c r="E15" t="inlineStr">
        <is>
          <t xml:space="preserve">GA14 Future with going to</t>
        </is>
      </c>
      <c r="F15" s="3" t="inlineStr">
        <is>
          <t xml:space="preserve">plans</t>
        </is>
      </c>
      <c r="G15" s="3" t="inlineStr">
        <is>
          <t xml:space="preserve">plans audio</t>
        </is>
      </c>
      <c r="H15" s="3" t="inlineStr">
        <is>
          <t xml:space="preserve">talk about plans</t>
        </is>
      </c>
      <c r="I15" s="3" t="inlineStr">
        <is>
          <t xml:space="preserve">future text</t>
        </is>
      </c>
      <c r="J15" s="3" t="inlineStr">
        <is>
          <t xml:space="preserve">plan paragraph</t>
        </is>
      </c>
      <c r="K15" t="inlineStr">
        <is>
          <t xml:space="preserve">P1</t>
        </is>
      </c>
      <c r="L15">
        <f>COUNTIF(PLAN_180!$G$2:$G$181,$A15)</f>
      </c>
      <c r="M15">
        <f>COUNTIFS(PLAN_180!$G$2:$G$181,$A15,PROGRESS!$E$2:$E$181,"Yes")</f>
      </c>
    </row>
    <row r="16">
      <c r="A16" t="inlineStr">
        <is>
          <t xml:space="preserve">A1-015</t>
        </is>
      </c>
      <c r="B16" t="inlineStr">
        <is>
          <t xml:space="preserve">A1</t>
        </is>
      </c>
      <c r="C16" t="inlineStr">
        <is>
          <t xml:space="preserve">Grammar</t>
        </is>
      </c>
      <c r="D16" s="3" t="inlineStr">
        <is>
          <t xml:space="preserve">Can / Can't</t>
        </is>
      </c>
      <c r="E16" t="inlineStr">
        <is>
          <t xml:space="preserve">GA15 Can / Can't</t>
        </is>
      </c>
      <c r="F16" s="3" t="inlineStr">
        <is>
          <t xml:space="preserve">abilities</t>
        </is>
      </c>
      <c r="G16" s="3" t="inlineStr">
        <is>
          <t xml:space="preserve">ability dialogue</t>
        </is>
      </c>
      <c r="H16" s="3" t="inlineStr">
        <is>
          <t xml:space="preserve">talk about abilities</t>
        </is>
      </c>
      <c r="I16" s="3" t="inlineStr">
        <is>
          <t xml:space="preserve">profile</t>
        </is>
      </c>
      <c r="J16" s="3" t="inlineStr">
        <is>
          <t xml:space="preserve">write about abilities</t>
        </is>
      </c>
      <c r="K16" t="inlineStr">
        <is>
          <t xml:space="preserve">P1</t>
        </is>
      </c>
      <c r="L16">
        <f>COUNTIF(PLAN_180!$G$2:$G$181,$A16)</f>
      </c>
      <c r="M16">
        <f>COUNTIFS(PLAN_180!$G$2:$G$181,$A16,PROGRESS!$E$2:$E$181,"Yes")</f>
      </c>
    </row>
    <row r="17">
      <c r="A17" t="inlineStr">
        <is>
          <t xml:space="preserve">A1-016</t>
        </is>
      </c>
      <c r="B17" t="inlineStr">
        <is>
          <t xml:space="preserve">A1</t>
        </is>
      </c>
      <c r="C17" t="inlineStr">
        <is>
          <t xml:space="preserve">Grammar</t>
        </is>
      </c>
      <c r="D17" s="3" t="inlineStr">
        <is>
          <t xml:space="preserve">Countable / Uncountable</t>
        </is>
      </c>
      <c r="E17" t="inlineStr">
        <is>
          <t xml:space="preserve">GA16 Countable / Uncountable</t>
        </is>
      </c>
      <c r="F17" s="3" t="inlineStr">
        <is>
          <t xml:space="preserve">food, shopping</t>
        </is>
      </c>
      <c r="G17" s="3" t="inlineStr">
        <is>
          <t xml:space="preserve">shopping audio</t>
        </is>
      </c>
      <c r="H17" s="3" t="inlineStr">
        <is>
          <t xml:space="preserve">shopping roleplay</t>
        </is>
      </c>
      <c r="I17" s="3" t="inlineStr">
        <is>
          <t xml:space="preserve">shopping list</t>
        </is>
      </c>
      <c r="J17" s="3" t="inlineStr">
        <is>
          <t xml:space="preserve">write a list</t>
        </is>
      </c>
      <c r="K17" t="inlineStr">
        <is>
          <t xml:space="preserve">P1</t>
        </is>
      </c>
      <c r="L17">
        <f>COUNTIF(PLAN_180!$G$2:$G$181,$A17)</f>
      </c>
      <c r="M17">
        <f>COUNTIFS(PLAN_180!$G$2:$G$181,$A17,PROGRESS!$E$2:$E$181,"Yes")</f>
      </c>
    </row>
    <row r="18">
      <c r="A18" t="inlineStr">
        <is>
          <t xml:space="preserve">A1-017</t>
        </is>
      </c>
      <c r="B18" t="inlineStr">
        <is>
          <t xml:space="preserve">A1</t>
        </is>
      </c>
      <c r="C18" t="inlineStr">
        <is>
          <t xml:space="preserve">Grammar</t>
        </is>
      </c>
      <c r="D18" s="3" t="inlineStr">
        <is>
          <t xml:space="preserve">Comparatives</t>
        </is>
      </c>
      <c r="E18" t="inlineStr">
        <is>
          <t xml:space="preserve">GA17 Comparatives &amp; superlatives</t>
        </is>
      </c>
      <c r="F18" s="3" t="inlineStr">
        <is>
          <t xml:space="preserve">adjectives</t>
        </is>
      </c>
      <c r="G18" s="3" t="inlineStr">
        <is>
          <t xml:space="preserve">comparison audio</t>
        </is>
      </c>
      <c r="H18" s="3" t="inlineStr">
        <is>
          <t xml:space="preserve">compare things</t>
        </is>
      </c>
      <c r="I18" s="3" t="inlineStr">
        <is>
          <t xml:space="preserve">short review</t>
        </is>
      </c>
      <c r="J18" s="3" t="inlineStr">
        <is>
          <t xml:space="preserve">write a comparison</t>
        </is>
      </c>
      <c r="K18" t="inlineStr">
        <is>
          <t xml:space="preserve">P2</t>
        </is>
      </c>
      <c r="L18">
        <f>COUNTIF(PLAN_180!$G$2:$G$181,$A18)</f>
      </c>
      <c r="M18">
        <f>COUNTIFS(PLAN_180!$G$2:$G$181,$A18,PROGRESS!$E$2:$E$181,"Yes")</f>
      </c>
    </row>
    <row r="19">
      <c r="A19" t="inlineStr">
        <is>
          <t xml:space="preserve">A1-018</t>
        </is>
      </c>
      <c r="B19" t="inlineStr">
        <is>
          <t xml:space="preserve">A1</t>
        </is>
      </c>
      <c r="C19" t="inlineStr">
        <is>
          <t xml:space="preserve">Vocabulary</t>
        </is>
      </c>
      <c r="D19" s="3" t="inlineStr">
        <is>
          <t xml:space="preserve">Travel basics</t>
        </is>
      </c>
      <c r="E19" t="inlineStr">
        <is>
          <t xml:space="preserve">GA16 Countable / Uncountable</t>
        </is>
      </c>
      <c r="F19" s="3" t="inlineStr">
        <is>
          <t xml:space="preserve">transport, hotel, directions</t>
        </is>
      </c>
      <c r="G19" s="3" t="inlineStr">
        <is>
          <t xml:space="preserve">travel phrases</t>
        </is>
      </c>
      <c r="H19" s="3" t="inlineStr">
        <is>
          <t xml:space="preserve">travel dialogue</t>
        </is>
      </c>
      <c r="I19" s="3" t="inlineStr">
        <is>
          <t xml:space="preserve">hotel roleplay</t>
        </is>
      </c>
      <c r="J19" s="3" t="inlineStr">
        <is>
          <t xml:space="preserve">travel notice</t>
        </is>
      </c>
      <c r="K19" t="inlineStr">
        <is>
          <t xml:space="preserve">P1</t>
        </is>
      </c>
      <c r="L19">
        <f>COUNTIF(PLAN_180!$G$2:$G$181,$A19)</f>
      </c>
      <c r="M19">
        <f>COUNTIFS(PLAN_180!$G$2:$G$181,$A19,PROGRESS!$E$2:$E$181,"Yes")</f>
      </c>
    </row>
    <row r="20">
      <c r="A20" t="inlineStr">
        <is>
          <t xml:space="preserve">A1-019</t>
        </is>
      </c>
      <c r="B20" t="inlineStr">
        <is>
          <t xml:space="preserve">A1</t>
        </is>
      </c>
      <c r="C20" t="inlineStr">
        <is>
          <t xml:space="preserve">Vocabulary</t>
        </is>
      </c>
      <c r="D20" s="3" t="inlineStr">
        <is>
          <t xml:space="preserve">Health basics</t>
        </is>
      </c>
      <c r="E20" t="inlineStr">
        <is>
          <t xml:space="preserve">GA15 Can / Can't</t>
        </is>
      </c>
      <c r="F20" s="3" t="inlineStr">
        <is>
          <t xml:space="preserve">body, symptoms, advice</t>
        </is>
      </c>
      <c r="G20" s="3" t="inlineStr">
        <is>
          <t xml:space="preserve">doctor dialogue</t>
        </is>
      </c>
      <c r="H20" s="3" t="inlineStr">
        <is>
          <t xml:space="preserve">describe symptoms</t>
        </is>
      </c>
      <c r="I20" s="3" t="inlineStr">
        <is>
          <t xml:space="preserve">clinic roleplay</t>
        </is>
      </c>
      <c r="J20" s="3" t="inlineStr">
        <is>
          <t xml:space="preserve">health note</t>
        </is>
      </c>
      <c r="K20" t="inlineStr">
        <is>
          <t xml:space="preserve">P2</t>
        </is>
      </c>
      <c r="L20">
        <f>COUNTIF(PLAN_180!$G$2:$G$181,$A20)</f>
      </c>
      <c r="M20">
        <f>COUNTIFS(PLAN_180!$G$2:$G$181,$A20,PROGRESS!$E$2:$E$181,"Yes")</f>
      </c>
    </row>
    <row r="21">
      <c r="A21" t="inlineStr">
        <is>
          <t xml:space="preserve">A2-020</t>
        </is>
      </c>
      <c r="B21" t="inlineStr">
        <is>
          <t xml:space="preserve">A2</t>
        </is>
      </c>
      <c r="C21" t="inlineStr">
        <is>
          <t xml:space="preserve">Grammar</t>
        </is>
      </c>
      <c r="D21" s="3" t="inlineStr">
        <is>
          <t xml:space="preserve">Present Perfect</t>
        </is>
      </c>
      <c r="E21" t="inlineStr">
        <is>
          <t xml:space="preserve">GA21 Present Perfect</t>
        </is>
      </c>
      <c r="F21" s="3" t="inlineStr">
        <is>
          <t xml:space="preserve">experiences</t>
        </is>
      </c>
      <c r="G21" s="3" t="inlineStr">
        <is>
          <t xml:space="preserve">experience dialogue</t>
        </is>
      </c>
      <c r="H21" s="3" t="inlineStr">
        <is>
          <t xml:space="preserve">talk about experiences</t>
        </is>
      </c>
      <c r="I21" s="3" t="inlineStr">
        <is>
          <t xml:space="preserve">experience article</t>
        </is>
      </c>
      <c r="J21" s="3" t="inlineStr">
        <is>
          <t xml:space="preserve">experience paragraph</t>
        </is>
      </c>
      <c r="K21" t="inlineStr">
        <is>
          <t xml:space="preserve">P1</t>
        </is>
      </c>
      <c r="L21">
        <f>COUNTIF(PLAN_180!$G$2:$G$181,$A21)</f>
      </c>
      <c r="M21">
        <f>COUNTIFS(PLAN_180!$G$2:$G$181,$A21,PROGRESS!$E$2:$E$181,"Yes")</f>
      </c>
    </row>
    <row r="22">
      <c r="A22" t="inlineStr">
        <is>
          <t xml:space="preserve">A2-021</t>
        </is>
      </c>
      <c r="B22" t="inlineStr">
        <is>
          <t xml:space="preserve">A2</t>
        </is>
      </c>
      <c r="C22" t="inlineStr">
        <is>
          <t xml:space="preserve">Grammar</t>
        </is>
      </c>
      <c r="D22" s="3" t="inlineStr">
        <is>
          <t xml:space="preserve">Past Continuous</t>
        </is>
      </c>
      <c r="E22" t="inlineStr">
        <is>
          <t xml:space="preserve">GA22 Past Continuous</t>
        </is>
      </c>
      <c r="F22" s="3" t="inlineStr">
        <is>
          <t xml:space="preserve">events</t>
        </is>
      </c>
      <c r="G22" s="3" t="inlineStr">
        <is>
          <t xml:space="preserve">story audio</t>
        </is>
      </c>
      <c r="H22" s="3" t="inlineStr">
        <is>
          <t xml:space="preserve">tell an interrupted event</t>
        </is>
      </c>
      <c r="I22" s="3" t="inlineStr">
        <is>
          <t xml:space="preserve">story text</t>
        </is>
      </c>
      <c r="J22" s="3" t="inlineStr">
        <is>
          <t xml:space="preserve">write a story</t>
        </is>
      </c>
      <c r="K22" t="inlineStr">
        <is>
          <t xml:space="preserve">P2</t>
        </is>
      </c>
      <c r="L22">
        <f>COUNTIF(PLAN_180!$G$2:$G$181,$A22)</f>
      </c>
      <c r="M22">
        <f>COUNTIFS(PLAN_180!$G$2:$G$181,$A22,PROGRESS!$E$2:$E$181,"Yes")</f>
      </c>
    </row>
    <row r="23">
      <c r="A23" t="inlineStr">
        <is>
          <t xml:space="preserve">A2-022</t>
        </is>
      </c>
      <c r="B23" t="inlineStr">
        <is>
          <t xml:space="preserve">A2</t>
        </is>
      </c>
      <c r="C23" t="inlineStr">
        <is>
          <t xml:space="preserve">Grammar</t>
        </is>
      </c>
      <c r="D23" s="3" t="inlineStr">
        <is>
          <t xml:space="preserve">Will vs going to</t>
        </is>
      </c>
      <c r="E23" t="inlineStr">
        <is>
          <t xml:space="preserve">GA23 Will vs going to</t>
        </is>
      </c>
      <c r="F23" s="3" t="inlineStr">
        <is>
          <t xml:space="preserve">predictions, plans</t>
        </is>
      </c>
      <c r="G23" s="3" t="inlineStr">
        <is>
          <t xml:space="preserve">future audio</t>
        </is>
      </c>
      <c r="H23" s="3" t="inlineStr">
        <is>
          <t xml:space="preserve">make predictions</t>
        </is>
      </c>
      <c r="I23" s="3" t="inlineStr">
        <is>
          <t xml:space="preserve">future article</t>
        </is>
      </c>
      <c r="J23" s="3" t="inlineStr">
        <is>
          <t xml:space="preserve">future plan</t>
        </is>
      </c>
      <c r="K23" t="inlineStr">
        <is>
          <t xml:space="preserve">P1</t>
        </is>
      </c>
      <c r="L23">
        <f>COUNTIF(PLAN_180!$G$2:$G$181,$A23)</f>
      </c>
      <c r="M23">
        <f>COUNTIFS(PLAN_180!$G$2:$G$181,$A23,PROGRESS!$E$2:$E$181,"Yes")</f>
      </c>
    </row>
    <row r="24">
      <c r="A24" t="inlineStr">
        <is>
          <t xml:space="preserve">A2-023</t>
        </is>
      </c>
      <c r="B24" t="inlineStr">
        <is>
          <t xml:space="preserve">A2</t>
        </is>
      </c>
      <c r="C24" t="inlineStr">
        <is>
          <t xml:space="preserve">Grammar</t>
        </is>
      </c>
      <c r="D24" s="3" t="inlineStr">
        <is>
          <t xml:space="preserve">First Conditional</t>
        </is>
      </c>
      <c r="E24" t="inlineStr">
        <is>
          <t xml:space="preserve">GA24 First Conditional</t>
        </is>
      </c>
      <c r="F24" s="3" t="inlineStr">
        <is>
          <t xml:space="preserve">everyday situations</t>
        </is>
      </c>
      <c r="G24" s="3" t="inlineStr">
        <is>
          <t xml:space="preserve">conditional dialogue</t>
        </is>
      </c>
      <c r="H24" s="3" t="inlineStr">
        <is>
          <t xml:space="preserve">give advice</t>
        </is>
      </c>
      <c r="I24" s="3" t="inlineStr">
        <is>
          <t xml:space="preserve">short article</t>
        </is>
      </c>
      <c r="J24" s="3" t="inlineStr">
        <is>
          <t xml:space="preserve">write advice</t>
        </is>
      </c>
      <c r="K24" t="inlineStr">
        <is>
          <t xml:space="preserve">P1</t>
        </is>
      </c>
      <c r="L24">
        <f>COUNTIF(PLAN_180!$G$2:$G$181,$A24)</f>
      </c>
      <c r="M24">
        <f>COUNTIFS(PLAN_180!$G$2:$G$181,$A24,PROGRESS!$E$2:$E$181,"Yes")</f>
      </c>
    </row>
    <row r="25">
      <c r="A25" t="inlineStr">
        <is>
          <t xml:space="preserve">A2-024</t>
        </is>
      </c>
      <c r="B25" t="inlineStr">
        <is>
          <t xml:space="preserve">A2</t>
        </is>
      </c>
      <c r="C25" t="inlineStr">
        <is>
          <t xml:space="preserve">Grammar</t>
        </is>
      </c>
      <c r="D25" s="3" t="inlineStr">
        <is>
          <t xml:space="preserve">Modal verbs</t>
        </is>
      </c>
      <c r="E25" t="inlineStr">
        <is>
          <t xml:space="preserve">GA25 Modal verbs: advice &amp; rules</t>
        </is>
      </c>
      <c r="F25" s="3" t="inlineStr">
        <is>
          <t xml:space="preserve">advice, rules</t>
        </is>
      </c>
      <c r="G25" s="3" t="inlineStr">
        <is>
          <t xml:space="preserve">rule audio</t>
        </is>
      </c>
      <c r="H25" s="3" t="inlineStr">
        <is>
          <t xml:space="preserve">give advice</t>
        </is>
      </c>
      <c r="I25" s="3" t="inlineStr">
        <is>
          <t xml:space="preserve">rules text</t>
        </is>
      </c>
      <c r="J25" s="3" t="inlineStr">
        <is>
          <t xml:space="preserve">write rules</t>
        </is>
      </c>
      <c r="K25" t="inlineStr">
        <is>
          <t xml:space="preserve">P1</t>
        </is>
      </c>
      <c r="L25">
        <f>COUNTIF(PLAN_180!$G$2:$G$181,$A25)</f>
      </c>
      <c r="M25">
        <f>COUNTIFS(PLAN_180!$G$2:$G$181,$A25,PROGRESS!$E$2:$E$181,"Yes")</f>
      </c>
    </row>
    <row r="26">
      <c r="A26" t="inlineStr">
        <is>
          <t xml:space="preserve">A2-025</t>
        </is>
      </c>
      <c r="B26" t="inlineStr">
        <is>
          <t xml:space="preserve">A2</t>
        </is>
      </c>
      <c r="C26" t="inlineStr">
        <is>
          <t xml:space="preserve">Grammar</t>
        </is>
      </c>
      <c r="D26" s="3" t="inlineStr">
        <is>
          <t xml:space="preserve">Passive basics</t>
        </is>
      </c>
      <c r="E26" t="inlineStr">
        <is>
          <t xml:space="preserve">GA26 Passive basics</t>
        </is>
      </c>
      <c r="F26" s="3" t="inlineStr">
        <is>
          <t xml:space="preserve">process words</t>
        </is>
      </c>
      <c r="G26" s="3" t="inlineStr">
        <is>
          <t xml:space="preserve">process audio</t>
        </is>
      </c>
      <c r="H26" s="3" t="inlineStr">
        <is>
          <t xml:space="preserve">explain a process</t>
        </is>
      </c>
      <c r="I26" s="3" t="inlineStr">
        <is>
          <t xml:space="preserve">process article</t>
        </is>
      </c>
      <c r="J26" s="3" t="inlineStr">
        <is>
          <t xml:space="preserve">process paragraph</t>
        </is>
      </c>
      <c r="K26" t="inlineStr">
        <is>
          <t xml:space="preserve">P2</t>
        </is>
      </c>
      <c r="L26">
        <f>COUNTIF(PLAN_180!$G$2:$G$181,$A26)</f>
      </c>
      <c r="M26">
        <f>COUNTIFS(PLAN_180!$G$2:$G$181,$A26,PROGRESS!$E$2:$E$181,"Yes")</f>
      </c>
    </row>
    <row r="27">
      <c r="A27" t="inlineStr">
        <is>
          <t xml:space="preserve">A2-026</t>
        </is>
      </c>
      <c r="B27" t="inlineStr">
        <is>
          <t xml:space="preserve">A2</t>
        </is>
      </c>
      <c r="C27" t="inlineStr">
        <is>
          <t xml:space="preserve">Communication</t>
        </is>
      </c>
      <c r="D27" s="3" t="inlineStr">
        <is>
          <t xml:space="preserve">Opinions &amp; reasons</t>
        </is>
      </c>
      <c r="E27" t="inlineStr">
        <is>
          <t xml:space="preserve">GA27 Linking ideas</t>
        </is>
      </c>
      <c r="F27" s="3" t="inlineStr">
        <is>
          <t xml:space="preserve">opinion vocabulary</t>
        </is>
      </c>
      <c r="G27" s="3" t="inlineStr">
        <is>
          <t xml:space="preserve">discussion</t>
        </is>
      </c>
      <c r="H27" s="3" t="inlineStr">
        <is>
          <t xml:space="preserve">state reasons</t>
        </is>
      </c>
      <c r="I27" s="3" t="inlineStr">
        <is>
          <t xml:space="preserve">opinion text</t>
        </is>
      </c>
      <c r="J27" s="3" t="inlineStr">
        <is>
          <t xml:space="preserve">opinion paragraph</t>
        </is>
      </c>
      <c r="K27" t="inlineStr">
        <is>
          <t xml:space="preserve">P1</t>
        </is>
      </c>
      <c r="L27">
        <f>COUNTIF(PLAN_180!$G$2:$G$181,$A27)</f>
      </c>
      <c r="M27">
        <f>COUNTIFS(PLAN_180!$G$2:$G$181,$A27,PROGRESS!$E$2:$E$181,"Yes")</f>
      </c>
    </row>
    <row r="28">
      <c r="A28" t="inlineStr">
        <is>
          <t xml:space="preserve">A2-027</t>
        </is>
      </c>
      <c r="B28" t="inlineStr">
        <is>
          <t xml:space="preserve">A2</t>
        </is>
      </c>
      <c r="C28" t="inlineStr">
        <is>
          <t xml:space="preserve">Vocabulary</t>
        </is>
      </c>
      <c r="D28" s="3" t="inlineStr">
        <is>
          <t xml:space="preserve">Work &amp; study</t>
        </is>
      </c>
      <c r="E28" t="inlineStr">
        <is>
          <t xml:space="preserve">GA21 Present Perfect</t>
        </is>
      </c>
      <c r="F28" s="3" t="inlineStr">
        <is>
          <t xml:space="preserve">jobs, education</t>
        </is>
      </c>
      <c r="G28" s="3" t="inlineStr">
        <is>
          <t xml:space="preserve">work dialogue</t>
        </is>
      </c>
      <c r="H28" s="3" t="inlineStr">
        <is>
          <t xml:space="preserve">talk about work and study</t>
        </is>
      </c>
      <c r="I28" s="3" t="inlineStr">
        <is>
          <t xml:space="preserve">work article</t>
        </is>
      </c>
      <c r="J28" s="3" t="inlineStr">
        <is>
          <t xml:space="preserve">email</t>
        </is>
      </c>
      <c r="K28" t="inlineStr">
        <is>
          <t xml:space="preserve">P1</t>
        </is>
      </c>
      <c r="L28">
        <f>COUNTIF(PLAN_180!$G$2:$G$181,$A28)</f>
      </c>
      <c r="M28">
        <f>COUNTIFS(PLAN_180!$G$2:$G$181,$A28,PROGRESS!$E$2:$E$181,"Yes")</f>
      </c>
    </row>
    <row r="29">
      <c r="A29" t="inlineStr">
        <is>
          <t xml:space="preserve">A2-028</t>
        </is>
      </c>
      <c r="B29" t="inlineStr">
        <is>
          <t xml:space="preserve">A2</t>
        </is>
      </c>
      <c r="C29" t="inlineStr">
        <is>
          <t xml:space="preserve">Vocabulary</t>
        </is>
      </c>
      <c r="D29" s="3" t="inlineStr">
        <is>
          <t xml:space="preserve">Technology</t>
        </is>
      </c>
      <c r="E29" t="inlineStr">
        <is>
          <t xml:space="preserve">GA26 Passive basics</t>
        </is>
      </c>
      <c r="F29" s="3" t="inlineStr">
        <is>
          <t xml:space="preserve">devices, internet</t>
        </is>
      </c>
      <c r="G29" s="3" t="inlineStr">
        <is>
          <t xml:space="preserve">tech dialogue</t>
        </is>
      </c>
      <c r="H29" s="3" t="inlineStr">
        <is>
          <t xml:space="preserve">explain how something works</t>
        </is>
      </c>
      <c r="I29" s="3" t="inlineStr">
        <is>
          <t xml:space="preserve">tech article</t>
        </is>
      </c>
      <c r="J29" s="3" t="inlineStr">
        <is>
          <t xml:space="preserve">short review</t>
        </is>
      </c>
      <c r="K29" t="inlineStr">
        <is>
          <t xml:space="preserve">P2</t>
        </is>
      </c>
      <c r="L29">
        <f>COUNTIF(PLAN_180!$G$2:$G$181,$A29)</f>
      </c>
      <c r="M29">
        <f>COUNTIFS(PLAN_180!$G$2:$G$181,$A29,PROGRESS!$E$2:$E$181,"Yes")</f>
      </c>
    </row>
    <row r="30">
      <c r="A30" t="inlineStr">
        <is>
          <t xml:space="preserve">B1-029</t>
        </is>
      </c>
      <c r="B30" t="inlineStr">
        <is>
          <t xml:space="preserve">B1</t>
        </is>
      </c>
      <c r="C30" t="inlineStr">
        <is>
          <t xml:space="preserve">Grammar</t>
        </is>
      </c>
      <c r="D30" s="3" t="inlineStr">
        <is>
          <t xml:space="preserve">Relative clauses</t>
        </is>
      </c>
      <c r="E30" t="inlineStr">
        <is>
          <t xml:space="preserve">GB11 Relative clauses</t>
        </is>
      </c>
      <c r="F30" s="3" t="inlineStr">
        <is>
          <t xml:space="preserve">descriptive vocabulary</t>
        </is>
      </c>
      <c r="G30" s="3" t="inlineStr">
        <is>
          <t xml:space="preserve">explanation</t>
        </is>
      </c>
      <c r="H30" s="3" t="inlineStr">
        <is>
          <t xml:space="preserve">describe people and things</t>
        </is>
      </c>
      <c r="I30" s="3" t="inlineStr">
        <is>
          <t xml:space="preserve">article</t>
        </is>
      </c>
      <c r="J30" s="3" t="inlineStr">
        <is>
          <t xml:space="preserve">description</t>
        </is>
      </c>
      <c r="K30" t="inlineStr">
        <is>
          <t xml:space="preserve">P1</t>
        </is>
      </c>
      <c r="L30">
        <f>COUNTIF(PLAN_180!$G$2:$G$181,$A30)</f>
      </c>
      <c r="M30">
        <f>COUNTIFS(PLAN_180!$G$2:$G$181,$A30,PROGRESS!$E$2:$E$181,"Yes")</f>
      </c>
    </row>
    <row r="31">
      <c r="A31" t="inlineStr">
        <is>
          <t xml:space="preserve">B1-030</t>
        </is>
      </c>
      <c r="B31" t="inlineStr">
        <is>
          <t xml:space="preserve">B1</t>
        </is>
      </c>
      <c r="C31" t="inlineStr">
        <is>
          <t xml:space="preserve">Grammar</t>
        </is>
      </c>
      <c r="D31" s="3" t="inlineStr">
        <is>
          <t xml:space="preserve">Reported speech</t>
        </is>
      </c>
      <c r="E31" t="inlineStr">
        <is>
          <t xml:space="preserve">GB12 Reported speech</t>
        </is>
      </c>
      <c r="F31" s="3" t="inlineStr">
        <is>
          <t xml:space="preserve">communication verbs</t>
        </is>
      </c>
      <c r="G31" s="3" t="inlineStr">
        <is>
          <t xml:space="preserve">news dialogue</t>
        </is>
      </c>
      <c r="H31" s="3" t="inlineStr">
        <is>
          <t xml:space="preserve">report information</t>
        </is>
      </c>
      <c r="I31" s="3" t="inlineStr">
        <is>
          <t xml:space="preserve">news article</t>
        </is>
      </c>
      <c r="J31" s="3" t="inlineStr">
        <is>
          <t xml:space="preserve">reported summary</t>
        </is>
      </c>
      <c r="K31" t="inlineStr">
        <is>
          <t xml:space="preserve">P2</t>
        </is>
      </c>
      <c r="L31">
        <f>COUNTIF(PLAN_180!$G$2:$G$181,$A31)</f>
      </c>
      <c r="M31">
        <f>COUNTIFS(PLAN_180!$G$2:$G$181,$A31,PROGRESS!$E$2:$E$181,"Yes")</f>
      </c>
    </row>
    <row r="32">
      <c r="A32" t="inlineStr">
        <is>
          <t xml:space="preserve">B1-031</t>
        </is>
      </c>
      <c r="B32" t="inlineStr">
        <is>
          <t xml:space="preserve">B1</t>
        </is>
      </c>
      <c r="C32" t="inlineStr">
        <is>
          <t xml:space="preserve">Grammar</t>
        </is>
      </c>
      <c r="D32" s="3" t="inlineStr">
        <is>
          <t xml:space="preserve">Second Conditional</t>
        </is>
      </c>
      <c r="E32" t="inlineStr">
        <is>
          <t xml:space="preserve">GB13 Second Conditional</t>
        </is>
      </c>
      <c r="F32" s="3" t="inlineStr">
        <is>
          <t xml:space="preserve">hypothetical topics</t>
        </is>
      </c>
      <c r="G32" s="3" t="inlineStr">
        <is>
          <t xml:space="preserve">discussion</t>
        </is>
      </c>
      <c r="H32" s="3" t="inlineStr">
        <is>
          <t xml:space="preserve">discuss scenarios</t>
        </is>
      </c>
      <c r="I32" s="3" t="inlineStr">
        <is>
          <t xml:space="preserve">opinion article</t>
        </is>
      </c>
      <c r="J32" s="3" t="inlineStr">
        <is>
          <t xml:space="preserve">argument paragraph</t>
        </is>
      </c>
      <c r="K32" t="inlineStr">
        <is>
          <t xml:space="preserve">P1</t>
        </is>
      </c>
      <c r="L32">
        <f>COUNTIF(PLAN_180!$G$2:$G$181,$A32)</f>
      </c>
      <c r="M32">
        <f>COUNTIFS(PLAN_180!$G$2:$G$181,$A32,PROGRESS!$E$2:$E$181,"Yes")</f>
      </c>
    </row>
    <row r="33">
      <c r="A33" t="inlineStr">
        <is>
          <t xml:space="preserve">B1-032</t>
        </is>
      </c>
      <c r="B33" t="inlineStr">
        <is>
          <t xml:space="preserve">B1</t>
        </is>
      </c>
      <c r="C33" t="inlineStr">
        <is>
          <t xml:space="preserve">Grammar</t>
        </is>
      </c>
      <c r="D33" s="3" t="inlineStr">
        <is>
          <t xml:space="preserve">Gerunds &amp; infinitives</t>
        </is>
      </c>
      <c r="E33" t="inlineStr">
        <is>
          <t xml:space="preserve">GB14 Gerunds &amp; infinitives</t>
        </is>
      </c>
      <c r="F33" s="3" t="inlineStr">
        <is>
          <t xml:space="preserve">learning and work verbs</t>
        </is>
      </c>
      <c r="G33" s="3" t="inlineStr">
        <is>
          <t xml:space="preserve">learning talk</t>
        </is>
      </c>
      <c r="H33" s="3" t="inlineStr">
        <is>
          <t xml:space="preserve">talk about preferences</t>
        </is>
      </c>
      <c r="I33" s="3" t="inlineStr">
        <is>
          <t xml:space="preserve">study text</t>
        </is>
      </c>
      <c r="J33" s="3" t="inlineStr">
        <is>
          <t xml:space="preserve">learning plan</t>
        </is>
      </c>
      <c r="K33" t="inlineStr">
        <is>
          <t xml:space="preserve">P2</t>
        </is>
      </c>
      <c r="L33">
        <f>COUNTIF(PLAN_180!$G$2:$G$181,$A33)</f>
      </c>
      <c r="M33">
        <f>COUNTIFS(PLAN_180!$G$2:$G$181,$A33,PROGRESS!$E$2:$E$181,"Yes")</f>
      </c>
    </row>
    <row r="34">
      <c r="A34" t="inlineStr">
        <is>
          <t xml:space="preserve">B1-033</t>
        </is>
      </c>
      <c r="B34" t="inlineStr">
        <is>
          <t xml:space="preserve">B1</t>
        </is>
      </c>
      <c r="C34" t="inlineStr">
        <is>
          <t xml:space="preserve">Communication</t>
        </is>
      </c>
      <c r="D34" s="3" t="inlineStr">
        <is>
          <t xml:space="preserve">Presentation basics</t>
        </is>
      </c>
      <c r="E34" t="inlineStr">
        <is>
          <t xml:space="preserve">GB15 Linking phrases for speaking &amp; writing</t>
        </is>
      </c>
      <c r="F34" s="3" t="inlineStr">
        <is>
          <t xml:space="preserve">presentation vocabulary</t>
        </is>
      </c>
      <c r="G34" s="3" t="inlineStr">
        <is>
          <t xml:space="preserve">short presentation</t>
        </is>
      </c>
      <c r="H34" s="3" t="inlineStr">
        <is>
          <t xml:space="preserve">2-minute talk</t>
        </is>
      </c>
      <c r="I34" s="3" t="inlineStr">
        <is>
          <t xml:space="preserve">presentation notes</t>
        </is>
      </c>
      <c r="J34" s="3" t="inlineStr">
        <is>
          <t xml:space="preserve">outline</t>
        </is>
      </c>
      <c r="K34" t="inlineStr">
        <is>
          <t xml:space="preserve">P1</t>
        </is>
      </c>
      <c r="L34">
        <f>COUNTIF(PLAN_180!$G$2:$G$181,$A34)</f>
      </c>
      <c r="M34">
        <f>COUNTIFS(PLAN_180!$G$2:$G$181,$A34,PROGRESS!$E$2:$E$181,"Yes")</f>
      </c>
    </row>
    <row r="35">
      <c r="A35" t="inlineStr">
        <is>
          <t xml:space="preserve">B1-034</t>
        </is>
      </c>
      <c r="B35" t="inlineStr">
        <is>
          <t xml:space="preserve">B1</t>
        </is>
      </c>
      <c r="C35" t="inlineStr">
        <is>
          <t xml:space="preserve">Writing</t>
        </is>
      </c>
      <c r="D35" s="3" t="inlineStr">
        <is>
          <t xml:space="preserve">Email &amp; formal messages</t>
        </is>
      </c>
      <c r="E35" t="inlineStr">
        <is>
          <t xml:space="preserve">GB15 Linking phrases for speaking &amp; writing</t>
        </is>
      </c>
      <c r="F35" s="3" t="inlineStr">
        <is>
          <t xml:space="preserve">request, apology, complaint</t>
        </is>
      </c>
      <c r="G35" s="3" t="inlineStr">
        <is>
          <t xml:space="preserve">email examples</t>
        </is>
      </c>
      <c r="H35" s="3" t="inlineStr">
        <is>
          <t xml:space="preserve">read aloud</t>
        </is>
      </c>
      <c r="I35" s="3" t="inlineStr">
        <is>
          <t xml:space="preserve">email samples</t>
        </is>
      </c>
      <c r="J35" s="3" t="inlineStr">
        <is>
          <t xml:space="preserve">120–180 word email</t>
        </is>
      </c>
      <c r="K35" t="inlineStr">
        <is>
          <t xml:space="preserve">P1</t>
        </is>
      </c>
      <c r="L35">
        <f>COUNTIF(PLAN_180!$G$2:$G$181,$A35)</f>
      </c>
      <c r="M35">
        <f>COUNTIFS(PLAN_180!$G$2:$G$181,$A35,PROGRESS!$E$2:$E$181,"Yes")</f>
      </c>
    </row>
    <row r="36">
      <c r="A36" t="inlineStr">
        <is>
          <t xml:space="preserve">B1-035</t>
        </is>
      </c>
      <c r="B36" t="inlineStr">
        <is>
          <t xml:space="preserve">B1</t>
        </is>
      </c>
      <c r="C36" t="inlineStr">
        <is>
          <t xml:space="preserve">Writing</t>
        </is>
      </c>
      <c r="D36" s="3" t="inlineStr">
        <is>
          <t xml:space="preserve">Opinion paragraph</t>
        </is>
      </c>
      <c r="E36" t="inlineStr">
        <is>
          <t xml:space="preserve">GB15 Linking phrases for speaking &amp; writing</t>
        </is>
      </c>
      <c r="F36" s="3" t="inlineStr">
        <is>
          <t xml:space="preserve">argument vocabulary</t>
        </is>
      </c>
      <c r="G36" s="3" t="inlineStr">
        <is>
          <t xml:space="preserve">short talk</t>
        </is>
      </c>
      <c r="H36" s="3" t="inlineStr">
        <is>
          <t xml:space="preserve">give your opinion</t>
        </is>
      </c>
      <c r="I36" s="3" t="inlineStr">
        <is>
          <t xml:space="preserve">opinion article</t>
        </is>
      </c>
      <c r="J36" s="3" t="inlineStr">
        <is>
          <t xml:space="preserve">150-word paragraph</t>
        </is>
      </c>
      <c r="K36" t="inlineStr">
        <is>
          <t xml:space="preserve">P1</t>
        </is>
      </c>
      <c r="L36">
        <f>COUNTIF(PLAN_180!$G$2:$G$181,$A36)</f>
      </c>
      <c r="M36">
        <f>COUNTIFS(PLAN_180!$G$2:$G$181,$A36,PROGRESS!$E$2:$E$181,"Yes")</f>
      </c>
    </row>
  </sheetData>
  <autoFilter ref="A1:M36"/>
  <pageMargins left="0.4" right="0.4" top="0.6" bottom="0.6" header="0.3" footer="0.3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7" customWidth="1"/>
    <col min="3" max="3" width="13" customWidth="1"/>
    <col min="4" max="4" width="18" customWidth="1"/>
    <col min="5" max="5" width="12" customWidth="1"/>
    <col min="6" max="6" width="14" customWidth="1"/>
    <col min="7" max="7" width="46" customWidth="1"/>
    <col min="8" max="8" width="40" customWidth="1"/>
    <col min="9" max="9" width="10" customWidth="1"/>
  </cols>
  <sheetData>
    <row r="1">
      <c r="A1" s="1" t="inlineStr">
        <is>
          <t xml:space="preserve">ID</t>
        </is>
      </c>
      <c r="B1" s="1" t="inlineStr">
        <is>
          <t xml:space="preserve">Level</t>
        </is>
      </c>
      <c r="C1" s="1" t="inlineStr">
        <is>
          <t xml:space="preserve">Kỹ năng</t>
        </is>
      </c>
      <c r="D1" s="1" t="inlineStr">
        <is>
          <t xml:space="preserve">Chủ đề</t>
        </is>
      </c>
      <c r="E1" s="1" t="inlineStr">
        <is>
          <t xml:space="preserve">CurriculumID</t>
        </is>
      </c>
      <c r="F1" s="1" t="inlineStr">
        <is>
          <t xml:space="preserve">Dạng</t>
        </is>
      </c>
      <c r="G1" s="1" t="inlineStr">
        <is>
          <t xml:space="preserve">Câu hỏi / Nhiệm vụ</t>
        </is>
      </c>
      <c r="H1" s="1" t="inlineStr">
        <is>
          <t xml:space="preserve">Đáp án</t>
        </is>
      </c>
      <c r="I1" s="1" t="inlineStr">
        <is>
          <t xml:space="preserve">Độ khó</t>
        </is>
      </c>
    </row>
    <row r="2">
      <c r="A2" t="inlineStr">
        <is>
          <t xml:space="preserve">E001</t>
        </is>
      </c>
      <c r="B2" t="inlineStr">
        <is>
          <t xml:space="preserve">A0</t>
        </is>
      </c>
      <c r="C2" t="inlineStr">
        <is>
          <t xml:space="preserve">Grammar</t>
        </is>
      </c>
      <c r="D2" s="3" t="inlineStr">
        <is>
          <t xml:space="preserve">Verb BE</t>
        </is>
      </c>
      <c r="E2" t="inlineStr">
        <is>
          <t xml:space="preserve">A0-005</t>
        </is>
      </c>
      <c r="F2" t="inlineStr">
        <is>
          <t xml:space="preserve">Fill blank</t>
        </is>
      </c>
      <c r="G2" s="3" t="inlineStr">
        <is>
          <t xml:space="preserve">I ___ a student.</t>
        </is>
      </c>
      <c r="H2" s="3" t="inlineStr">
        <is>
          <t xml:space="preserve">am</t>
        </is>
      </c>
      <c r="I2" t="inlineStr">
        <is>
          <t xml:space="preserve">Easy</t>
        </is>
      </c>
    </row>
    <row r="3">
      <c r="A3" t="inlineStr">
        <is>
          <t xml:space="preserve">E002</t>
        </is>
      </c>
      <c r="B3" t="inlineStr">
        <is>
          <t xml:space="preserve">A0</t>
        </is>
      </c>
      <c r="C3" t="inlineStr">
        <is>
          <t xml:space="preserve">Vocabulary</t>
        </is>
      </c>
      <c r="D3" s="3" t="inlineStr">
        <is>
          <t xml:space="preserve">Greetings</t>
        </is>
      </c>
      <c r="E3" t="inlineStr">
        <is>
          <t xml:space="preserve">A0-004</t>
        </is>
      </c>
      <c r="F3" t="inlineStr">
        <is>
          <t xml:space="preserve">Translate</t>
        </is>
      </c>
      <c r="G3" s="3" t="inlineStr">
        <is>
          <t xml:space="preserve">Dịch: Xin chào.</t>
        </is>
      </c>
      <c r="H3" s="3" t="inlineStr">
        <is>
          <t xml:space="preserve">Hello</t>
        </is>
      </c>
      <c r="I3" t="inlineStr">
        <is>
          <t xml:space="preserve">Easy</t>
        </is>
      </c>
    </row>
    <row r="4">
      <c r="A4" t="inlineStr">
        <is>
          <t xml:space="preserve">E003</t>
        </is>
      </c>
      <c r="B4" t="inlineStr">
        <is>
          <t xml:space="preserve">A0</t>
        </is>
      </c>
      <c r="C4" t="inlineStr">
        <is>
          <t xml:space="preserve">Speaking</t>
        </is>
      </c>
      <c r="D4" s="3" t="inlineStr">
        <is>
          <t xml:space="preserve">Introduction</t>
        </is>
      </c>
      <c r="E4" t="inlineStr">
        <is>
          <t xml:space="preserve">A0-004</t>
        </is>
      </c>
      <c r="F4" t="inlineStr">
        <is>
          <t xml:space="preserve">Speak</t>
        </is>
      </c>
      <c r="G4" s="3" t="inlineStr">
        <is>
          <t xml:space="preserve">Nói 5 câu giới thiệu bản thân.</t>
        </is>
      </c>
      <c r="H4" s="3" t="inlineStr">
        <is>
          <t xml:space="preserve">Checklist: name / country / job / hobby / goal</t>
        </is>
      </c>
      <c r="I4" t="inlineStr">
        <is>
          <t xml:space="preserve">Easy</t>
        </is>
      </c>
    </row>
    <row r="5">
      <c r="A5" t="inlineStr">
        <is>
          <t xml:space="preserve">E004</t>
        </is>
      </c>
      <c r="B5" t="inlineStr">
        <is>
          <t xml:space="preserve">A1</t>
        </is>
      </c>
      <c r="C5" t="inlineStr">
        <is>
          <t xml:space="preserve">Grammar</t>
        </is>
      </c>
      <c r="D5" s="3" t="inlineStr">
        <is>
          <t xml:space="preserve">Present Simple</t>
        </is>
      </c>
      <c r="E5" t="inlineStr">
        <is>
          <t xml:space="preserve">A1-011</t>
        </is>
      </c>
      <c r="F5" t="inlineStr">
        <is>
          <t xml:space="preserve">Correct error</t>
        </is>
      </c>
      <c r="G5" s="3" t="inlineStr">
        <is>
          <t xml:space="preserve">She go to school every day.</t>
        </is>
      </c>
      <c r="H5" s="3" t="inlineStr">
        <is>
          <t xml:space="preserve">She goes to school every day.</t>
        </is>
      </c>
      <c r="I5" t="inlineStr">
        <is>
          <t xml:space="preserve">Easy</t>
        </is>
      </c>
    </row>
    <row r="6">
      <c r="A6" t="inlineStr">
        <is>
          <t xml:space="preserve">E005</t>
        </is>
      </c>
      <c r="B6" t="inlineStr">
        <is>
          <t xml:space="preserve">A1</t>
        </is>
      </c>
      <c r="C6" t="inlineStr">
        <is>
          <t xml:space="preserve">Listening</t>
        </is>
      </c>
      <c r="D6" s="3" t="inlineStr">
        <is>
          <t xml:space="preserve">Daily routine</t>
        </is>
      </c>
      <c r="E6" t="inlineStr">
        <is>
          <t xml:space="preserve">A1-011</t>
        </is>
      </c>
      <c r="F6" t="inlineStr">
        <is>
          <t xml:space="preserve">Listen + note</t>
        </is>
      </c>
      <c r="G6" s="3" t="inlineStr">
        <is>
          <t xml:space="preserve">Ghi lại 5 hoạt động nghe được.</t>
        </is>
      </c>
      <c r="H6" s="3" t="inlineStr">
        <is>
          <t xml:space="preserve">Self-check</t>
        </is>
      </c>
      <c r="I6" t="inlineStr">
        <is>
          <t xml:space="preserve">Medium</t>
        </is>
      </c>
    </row>
    <row r="7">
      <c r="A7" t="inlineStr">
        <is>
          <t xml:space="preserve">E006</t>
        </is>
      </c>
      <c r="B7" t="inlineStr">
        <is>
          <t xml:space="preserve">A1</t>
        </is>
      </c>
      <c r="C7" t="inlineStr">
        <is>
          <t xml:space="preserve">Writing</t>
        </is>
      </c>
      <c r="D7" s="3" t="inlineStr">
        <is>
          <t xml:space="preserve">Daily routine</t>
        </is>
      </c>
      <c r="E7" t="inlineStr">
        <is>
          <t xml:space="preserve">A1-011</t>
        </is>
      </c>
      <c r="F7" t="inlineStr">
        <is>
          <t xml:space="preserve">Write</t>
        </is>
      </c>
      <c r="G7" s="3" t="inlineStr">
        <is>
          <t xml:space="preserve">Viết 60 từ về một ngày của bạn.</t>
        </is>
      </c>
      <c r="H7" s="3" t="inlineStr">
        <is>
          <t xml:space="preserve">Checklist: thì hiện tại, trạng từ tần suất, liên từ</t>
        </is>
      </c>
      <c r="I7" t="inlineStr">
        <is>
          <t xml:space="preserve">Medium</t>
        </is>
      </c>
    </row>
    <row r="8">
      <c r="A8" t="inlineStr">
        <is>
          <t xml:space="preserve">E007</t>
        </is>
      </c>
      <c r="B8" t="inlineStr">
        <is>
          <t xml:space="preserve">A2</t>
        </is>
      </c>
      <c r="C8" t="inlineStr">
        <is>
          <t xml:space="preserve">Grammar</t>
        </is>
      </c>
      <c r="D8" s="3" t="inlineStr">
        <is>
          <t xml:space="preserve">Present Perfect</t>
        </is>
      </c>
      <c r="E8" t="inlineStr">
        <is>
          <t xml:space="preserve">A2-020</t>
        </is>
      </c>
      <c r="F8" t="inlineStr">
        <is>
          <t xml:space="preserve">Fill blank</t>
        </is>
      </c>
      <c r="G8" s="3" t="inlineStr">
        <is>
          <t xml:space="preserve">I ___ never ___ to Japan.</t>
        </is>
      </c>
      <c r="H8" s="3" t="inlineStr">
        <is>
          <t xml:space="preserve">have / been</t>
        </is>
      </c>
      <c r="I8" t="inlineStr">
        <is>
          <t xml:space="preserve">Medium</t>
        </is>
      </c>
    </row>
    <row r="9">
      <c r="A9" t="inlineStr">
        <is>
          <t xml:space="preserve">E008</t>
        </is>
      </c>
      <c r="B9" t="inlineStr">
        <is>
          <t xml:space="preserve">A2</t>
        </is>
      </c>
      <c r="C9" t="inlineStr">
        <is>
          <t xml:space="preserve">Speaking</t>
        </is>
      </c>
      <c r="D9" s="3" t="inlineStr">
        <is>
          <t xml:space="preserve">Experience</t>
        </is>
      </c>
      <c r="E9" t="inlineStr">
        <is>
          <t xml:space="preserve">A2-020</t>
        </is>
      </c>
      <c r="F9" t="inlineStr">
        <is>
          <t xml:space="preserve">Roleplay</t>
        </is>
      </c>
      <c r="G9" s="3" t="inlineStr">
        <is>
          <t xml:space="preserve">Kể một trải nghiệm đáng nhớ trong 1 phút.</t>
        </is>
      </c>
      <c r="H9" s="3" t="inlineStr">
        <is>
          <t xml:space="preserve">Fluency + accuracy</t>
        </is>
      </c>
      <c r="I9" t="inlineStr">
        <is>
          <t xml:space="preserve">Medium</t>
        </is>
      </c>
    </row>
    <row r="10">
      <c r="A10" t="inlineStr">
        <is>
          <t xml:space="preserve">E009</t>
        </is>
      </c>
      <c r="B10" t="inlineStr">
        <is>
          <t xml:space="preserve">B1</t>
        </is>
      </c>
      <c r="C10" t="inlineStr">
        <is>
          <t xml:space="preserve">Writing</t>
        </is>
      </c>
      <c r="D10" s="3" t="inlineStr">
        <is>
          <t xml:space="preserve">Opinion</t>
        </is>
      </c>
      <c r="E10" t="inlineStr">
        <is>
          <t xml:space="preserve">B1-035</t>
        </is>
      </c>
      <c r="F10" t="inlineStr">
        <is>
          <t xml:space="preserve">Paragraph</t>
        </is>
      </c>
      <c r="G10" s="3" t="inlineStr">
        <is>
          <t xml:space="preserve">Should students use AI for learning? Write 150 words.</t>
        </is>
      </c>
      <c r="H10" s="3" t="inlineStr">
        <is>
          <t xml:space="preserve">Position + reasons + example + conclusion</t>
        </is>
      </c>
      <c r="I10" t="inlineStr">
        <is>
          <t xml:space="preserve">Medium</t>
        </is>
      </c>
    </row>
    <row r="11">
      <c r="A11" t="inlineStr">
        <is>
          <t xml:space="preserve">E010</t>
        </is>
      </c>
      <c r="B11" t="inlineStr">
        <is>
          <t xml:space="preserve">B1</t>
        </is>
      </c>
      <c r="C11" t="inlineStr">
        <is>
          <t xml:space="preserve">Speaking</t>
        </is>
      </c>
      <c r="D11" s="3" t="inlineStr">
        <is>
          <t xml:space="preserve">Opinion</t>
        </is>
      </c>
      <c r="E11" t="inlineStr">
        <is>
          <t xml:space="preserve">B1-035</t>
        </is>
      </c>
      <c r="F11" t="inlineStr">
        <is>
          <t xml:space="preserve">Discussion</t>
        </is>
      </c>
      <c r="G11" s="3" t="inlineStr">
        <is>
          <t xml:space="preserve">Give 3 reasons for your opinion.</t>
        </is>
      </c>
      <c r="H11" s="3" t="inlineStr">
        <is>
          <t xml:space="preserve">Clarity + examples</t>
        </is>
      </c>
      <c r="I11" t="inlineStr">
        <is>
          <t xml:space="preserve">Medium</t>
        </is>
      </c>
    </row>
  </sheetData>
  <autoFilter ref="A1:I11"/>
  <pageMargins left="0.4" right="0.4" top="0.6" bottom="0.6" header="0.3" footer="0.3"/>
</worksheet>
</file>

<file path=xl/worksheets/sheet9.xml><?xml version="1.0" encoding="utf-8"?>
<worksheet xmlns="http://schemas.openxmlformats.org/spreadsheetml/2006/main">
  <sheetViews>
    <sheetView workbookViewId="0"/>
  </sheetViews>
  <sheetFormatPr defaultRowHeight="15"/>
  <cols>
    <col min="1" max="1" width="8" customWidth="1"/>
    <col min="2" max="2" width="26" customWidth="1"/>
    <col min="3" max="3" width="10" customWidth="1"/>
    <col min="4" max="4" width="30" customWidth="1"/>
    <col min="5" max="5" width="26" customWidth="1"/>
    <col min="6" max="6" width="14" customWidth="1"/>
    <col min="7" max="7" width="14" customWidth="1"/>
    <col min="8" max="8" width="42" customWidth="1"/>
    <col min="9" max="9" width="40" customWidth="1"/>
    <col min="10" max="10" width="34" customWidth="1"/>
  </cols>
  <sheetData>
    <row r="1">
      <c r="A1" s="1" t="inlineStr">
        <is>
          <t xml:space="preserve">ID</t>
        </is>
      </c>
      <c r="B1" s="1" t="inlineStr">
        <is>
          <t xml:space="preserve">Nguồn</t>
        </is>
      </c>
      <c r="C1" s="1" t="inlineStr">
        <is>
          <t xml:space="preserve">Level</t>
        </is>
      </c>
      <c r="D1" s="1" t="inlineStr">
        <is>
          <t xml:space="preserve">Kỹ năng</t>
        </is>
      </c>
      <c r="E1" s="1" t="inlineStr">
        <is>
          <t xml:space="preserve">Chủ đề</t>
        </is>
      </c>
      <c r="F1" s="1" t="inlineStr">
        <is>
          <t xml:space="preserve">Kiểu</t>
        </is>
      </c>
      <c r="G1" s="1" t="inlineStr">
        <is>
          <t xml:space="preserve">Miễn phí</t>
        </is>
      </c>
      <c r="H1" s="1" t="inlineStr">
        <is>
          <t xml:space="preserve">URL</t>
        </is>
      </c>
      <c r="I1" s="1" t="inlineStr">
        <is>
          <t xml:space="preserve">Dùng khi nào</t>
        </is>
      </c>
      <c r="J1" s="1" t="inlineStr">
        <is>
          <t xml:space="preserve">Ghi chú</t>
        </is>
      </c>
    </row>
    <row r="2">
      <c r="A2" t="inlineStr">
        <is>
          <t xml:space="preserve">R001</t>
        </is>
      </c>
      <c r="B2" s="3" t="inlineStr">
        <is>
          <t xml:space="preserve">British Council LearnEnglish</t>
        </is>
      </c>
      <c r="C2" t="inlineStr">
        <is>
          <t xml:space="preserve">A1–B1</t>
        </is>
      </c>
      <c r="D2" s="3" t="inlineStr">
        <is>
          <t xml:space="preserve">All</t>
        </is>
      </c>
      <c r="E2" s="3" t="inlineStr">
        <is>
          <t xml:space="preserve">Bài luyện theo cấp độ CEFR</t>
        </is>
      </c>
      <c r="F2" t="inlineStr">
        <is>
          <t xml:space="preserve">Website</t>
        </is>
      </c>
      <c r="G2" t="inlineStr">
        <is>
          <t xml:space="preserve">YES</t>
        </is>
      </c>
      <c r="H2" t="inlineStr">
        <is>
          <t xml:space="preserve">https://learnenglish.britishcouncil.org/</t>
        </is>
      </c>
      <c r="I2" s="3" t="inlineStr">
        <is>
          <t xml:space="preserve">Chọn bài đúng chủ đề của tuần</t>
        </is>
      </c>
      <c r="J2" s="3" t="inlineStr">
        <is>
          <t xml:space="preserve">Nguồn chuẩn cho luyện tập theo CEFR</t>
        </is>
      </c>
    </row>
    <row r="3">
      <c r="A3" t="inlineStr">
        <is>
          <t xml:space="preserve">R002</t>
        </is>
      </c>
      <c r="B3" s="3" t="inlineStr">
        <is>
          <t xml:space="preserve">USA Learns</t>
        </is>
      </c>
      <c r="C3" t="inlineStr">
        <is>
          <t xml:space="preserve">A0–A2</t>
        </is>
      </c>
      <c r="D3" s="3" t="inlineStr">
        <is>
          <t xml:space="preserve">All</t>
        </is>
      </c>
      <c r="E3" s="3" t="inlineStr">
        <is>
          <t xml:space="preserve">Khoá cho người mới bắt đầu</t>
        </is>
      </c>
      <c r="F3" t="inlineStr">
        <is>
          <t xml:space="preserve">Course</t>
        </is>
      </c>
      <c r="G3" t="inlineStr">
        <is>
          <t xml:space="preserve">YES</t>
        </is>
      </c>
      <c r="H3" t="inlineStr">
        <is>
          <t xml:space="preserve">https://www.usalearns.org/</t>
        </is>
      </c>
      <c r="I3" s="3" t="inlineStr">
        <is>
          <t xml:space="preserve">Dùng làm khoá chính cho 12 tuần đầu</t>
        </is>
      </c>
      <c r="J3" s="3" t="inlineStr">
        <is>
          <t xml:space="preserve">Đặc biệt tốt cho người mất gốc</t>
        </is>
      </c>
    </row>
    <row r="4">
      <c r="A4" t="inlineStr">
        <is>
          <t xml:space="preserve">R003</t>
        </is>
      </c>
      <c r="B4" s="3" t="inlineStr">
        <is>
          <t xml:space="preserve">BBC Learning English</t>
        </is>
      </c>
      <c r="C4" t="inlineStr">
        <is>
          <t xml:space="preserve">A1–B1</t>
        </is>
      </c>
      <c r="D4" s="3" t="inlineStr">
        <is>
          <t xml:space="preserve">Listening, Grammar, Vocabulary, Pronunciation</t>
        </is>
      </c>
      <c r="E4" s="3" t="inlineStr">
        <is>
          <t xml:space="preserve">Tiếng Anh hằng ngày</t>
        </is>
      </c>
      <c r="F4" t="inlineStr">
        <is>
          <t xml:space="preserve">Website</t>
        </is>
      </c>
      <c r="G4" t="inlineStr">
        <is>
          <t xml:space="preserve">YES</t>
        </is>
      </c>
      <c r="H4" t="inlineStr">
        <is>
          <t xml:space="preserve">https://www.bbclearningenglish.com/</t>
        </is>
      </c>
      <c r="I4" s="3" t="inlineStr">
        <is>
          <t xml:space="preserve">10–20 phút mỗi ngày cho phần nghe</t>
        </is>
      </c>
      <c r="J4" s="3" t="inlineStr">
        <is>
          <t xml:space="preserve">Bài ngắn, dễ giữ nhịp hằng ngày</t>
        </is>
      </c>
    </row>
    <row r="5">
      <c r="A5" t="inlineStr">
        <is>
          <t xml:space="preserve">R004</t>
        </is>
      </c>
      <c r="B5" s="3" t="inlineStr">
        <is>
          <t xml:space="preserve">VOCA</t>
        </is>
      </c>
      <c r="C5" t="inlineStr">
        <is>
          <t xml:space="preserve">A0–B1</t>
        </is>
      </c>
      <c r="D5" s="3" t="inlineStr">
        <is>
          <t xml:space="preserve">Vocabulary</t>
        </is>
      </c>
      <c r="E5" s="3" t="inlineStr">
        <is>
          <t xml:space="preserve">Từ vựng theo cấp độ</t>
        </is>
      </c>
      <c r="F5" t="inlineStr">
        <is>
          <t xml:space="preserve">Course / Plan</t>
        </is>
      </c>
      <c r="G5" t="inlineStr">
        <is>
          <t xml:space="preserve">Tuỳ thời điểm</t>
        </is>
      </c>
      <c r="H5" t="inlineStr">
        <is>
          <t xml:space="preserve">https://www.voca.vn/</t>
        </is>
      </c>
      <c r="I5" s="3" t="inlineStr">
        <is>
          <t xml:space="preserve">Bổ sung từ vựng khi hết nguồn trong sheet VOCAB</t>
        </is>
      </c>
      <c r="J5" s="3" t="inlineStr">
        <is>
          <t xml:space="preserve">Kiểm tra mức miễn phí trước khi dùng</t>
        </is>
      </c>
    </row>
    <row r="6">
      <c r="A6" t="inlineStr">
        <is>
          <t xml:space="preserve">R005</t>
        </is>
      </c>
      <c r="B6" s="3" t="inlineStr">
        <is>
          <t xml:space="preserve">ESL Desk</t>
        </is>
      </c>
      <c r="C6" t="inlineStr">
        <is>
          <t xml:space="preserve">A1–A2</t>
        </is>
      </c>
      <c r="D6" s="3" t="inlineStr">
        <is>
          <t xml:space="preserve">All</t>
        </is>
      </c>
      <c r="E6" s="3" t="inlineStr">
        <is>
          <t xml:space="preserve">Lộ trình cho người mới</t>
        </is>
      </c>
      <c r="F6" t="inlineStr">
        <is>
          <t xml:space="preserve">Website</t>
        </is>
      </c>
      <c r="G6" t="inlineStr">
        <is>
          <t xml:space="preserve">YES</t>
        </is>
      </c>
      <c r="H6" t="inlineStr">
        <is>
          <t xml:space="preserve">https://esldesk.com/start/beginner</t>
        </is>
      </c>
      <c r="I6" s="3" t="inlineStr">
        <is>
          <t xml:space="preserve">Bài tập thêm khi điểm dưới 70%</t>
        </is>
      </c>
      <c r="J6" s="3" t="inlineStr">
        <is>
          <t xml:space="preserve">Chỉ dùng làm bài tập phụ</t>
        </is>
      </c>
    </row>
  </sheetData>
  <pageMargins left="0.4" right="0.4" top="0.6" bottom="0.6" header="0.3" footer="0.3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7" customWidth="1"/>
    <col min="3" max="3" width="7" customWidth="1"/>
    <col min="4" max="4" width="26" customWidth="1"/>
    <col min="5" max="5" width="13" customWidth="1"/>
    <col min="6" max="6" width="13" customWidth="1"/>
    <col min="7" max="7" width="12" customWidth="1"/>
    <col min="8" max="8" width="12" customWidth="1"/>
    <col min="9" max="9" width="12" customWidth="1"/>
    <col min="10" max="10" width="11" customWidth="1"/>
    <col min="11" max="11" width="11" customWidth="1"/>
    <col min="12" max="12" width="11" customWidth="1"/>
    <col min="13" max="13" width="34" customWidth="1"/>
  </cols>
  <sheetData>
    <row r="1">
      <c r="A1" s="1" t="inlineStr">
        <is>
          <t xml:space="preserve">Ngày lịch</t>
        </is>
      </c>
      <c r="B1" s="1" t="inlineStr">
        <is>
          <t xml:space="preserve">Ngày</t>
        </is>
      </c>
      <c r="C1" s="1" t="inlineStr">
        <is>
          <t xml:space="preserve">Level</t>
        </is>
      </c>
      <c r="D1" s="1" t="inlineStr">
        <is>
          <t xml:space="preserve">Chủ đề</t>
        </is>
      </c>
      <c r="E1" s="1" t="inlineStr">
        <is>
          <t xml:space="preserve">Hoàn thành</t>
        </is>
      </c>
      <c r="F1" s="1" t="inlineStr">
        <is>
          <t xml:space="preserve">Vocabulary %</t>
        </is>
      </c>
      <c r="G1" s="1" t="inlineStr">
        <is>
          <t xml:space="preserve">Grammar %</t>
        </is>
      </c>
      <c r="H1" s="1" t="inlineStr">
        <is>
          <t xml:space="preserve">Listening %</t>
        </is>
      </c>
      <c r="I1" s="1" t="inlineStr">
        <is>
          <t xml:space="preserve">Speaking %</t>
        </is>
      </c>
      <c r="J1" s="1" t="inlineStr">
        <is>
          <t xml:space="preserve">Reading %</t>
        </is>
      </c>
      <c r="K1" s="1" t="inlineStr">
        <is>
          <t xml:space="preserve">Writing %</t>
        </is>
      </c>
      <c r="L1" s="1" t="inlineStr">
        <is>
          <t xml:space="preserve">Overall %</t>
        </is>
      </c>
      <c r="M1" s="1" t="inlineStr">
        <is>
          <t xml:space="preserve">Ghi chú</t>
        </is>
      </c>
    </row>
    <row r="2">
      <c r="A2" s="2">
        <f>PLAN_180!$B2</f>
      </c>
      <c r="B2">
        <f>PLAN_180!$A2</f>
      </c>
      <c r="C2">
        <f>PLAN_180!$D2</f>
      </c>
      <c r="D2">
        <f>PLAN_180!$H2</f>
      </c>
      <c r="E2" s="4"/>
      <c r="F2" s="4"/>
      <c r="G2" s="4"/>
      <c r="H2" s="4"/>
      <c r="I2" s="4"/>
      <c r="J2" s="4"/>
      <c r="K2" s="4"/>
      <c r="L2">
        <f>IF(COUNT($F2:$K2)=0,"",ROUND(AVERAGE($F2:$K2),0))</f>
      </c>
      <c r="M2" s="4"/>
    </row>
    <row r="3">
      <c r="A3" s="2">
        <f>PLAN_180!$B3</f>
      </c>
      <c r="B3">
        <f>PLAN_180!$A3</f>
      </c>
      <c r="C3">
        <f>PLAN_180!$D3</f>
      </c>
      <c r="D3">
        <f>PLAN_180!$H3</f>
      </c>
      <c r="E3" s="4"/>
      <c r="F3" s="4"/>
      <c r="G3" s="4"/>
      <c r="H3" s="4"/>
      <c r="I3" s="4"/>
      <c r="J3" s="4"/>
      <c r="K3" s="4"/>
      <c r="L3">
        <f>IF(COUNT($F3:$K3)=0,"",ROUND(AVERAGE($F3:$K3),0))</f>
      </c>
      <c r="M3" s="4"/>
    </row>
    <row r="4">
      <c r="A4" s="2">
        <f>PLAN_180!$B4</f>
      </c>
      <c r="B4">
        <f>PLAN_180!$A4</f>
      </c>
      <c r="C4">
        <f>PLAN_180!$D4</f>
      </c>
      <c r="D4">
        <f>PLAN_180!$H4</f>
      </c>
      <c r="E4" s="4"/>
      <c r="F4" s="4"/>
      <c r="G4" s="4"/>
      <c r="H4" s="4"/>
      <c r="I4" s="4"/>
      <c r="J4" s="4"/>
      <c r="K4" s="4"/>
      <c r="L4">
        <f>IF(COUNT($F4:$K4)=0,"",ROUND(AVERAGE($F4:$K4),0))</f>
      </c>
      <c r="M4" s="4"/>
    </row>
    <row r="5">
      <c r="A5" s="2">
        <f>PLAN_180!$B5</f>
      </c>
      <c r="B5">
        <f>PLAN_180!$A5</f>
      </c>
      <c r="C5">
        <f>PLAN_180!$D5</f>
      </c>
      <c r="D5">
        <f>PLAN_180!$H5</f>
      </c>
      <c r="E5" s="4"/>
      <c r="F5" s="4"/>
      <c r="G5" s="4"/>
      <c r="H5" s="4"/>
      <c r="I5" s="4"/>
      <c r="J5" s="4"/>
      <c r="K5" s="4"/>
      <c r="L5">
        <f>IF(COUNT($F5:$K5)=0,"",ROUND(AVERAGE($F5:$K5),0))</f>
      </c>
      <c r="M5" s="4"/>
    </row>
    <row r="6">
      <c r="A6" s="2">
        <f>PLAN_180!$B6</f>
      </c>
      <c r="B6">
        <f>PLAN_180!$A6</f>
      </c>
      <c r="C6">
        <f>PLAN_180!$D6</f>
      </c>
      <c r="D6">
        <f>PLAN_180!$H6</f>
      </c>
      <c r="E6" s="4"/>
      <c r="F6" s="4"/>
      <c r="G6" s="4"/>
      <c r="H6" s="4"/>
      <c r="I6" s="4"/>
      <c r="J6" s="4"/>
      <c r="K6" s="4"/>
      <c r="L6">
        <f>IF(COUNT($F6:$K6)=0,"",ROUND(AVERAGE($F6:$K6),0))</f>
      </c>
      <c r="M6" s="4"/>
    </row>
    <row r="7">
      <c r="A7" s="2">
        <f>PLAN_180!$B7</f>
      </c>
      <c r="B7">
        <f>PLAN_180!$A7</f>
      </c>
      <c r="C7">
        <f>PLAN_180!$D7</f>
      </c>
      <c r="D7">
        <f>PLAN_180!$H7</f>
      </c>
      <c r="E7" s="4"/>
      <c r="F7" s="4"/>
      <c r="G7" s="4"/>
      <c r="H7" s="4"/>
      <c r="I7" s="4"/>
      <c r="J7" s="4"/>
      <c r="K7" s="4"/>
      <c r="L7">
        <f>IF(COUNT($F7:$K7)=0,"",ROUND(AVERAGE($F7:$K7),0))</f>
      </c>
      <c r="M7" s="4"/>
    </row>
    <row r="8">
      <c r="A8" s="2">
        <f>PLAN_180!$B8</f>
      </c>
      <c r="B8">
        <f>PLAN_180!$A8</f>
      </c>
      <c r="C8">
        <f>PLAN_180!$D8</f>
      </c>
      <c r="D8">
        <f>PLAN_180!$H8</f>
      </c>
      <c r="E8" s="4"/>
      <c r="F8" s="4"/>
      <c r="G8" s="4"/>
      <c r="H8" s="4"/>
      <c r="I8" s="4"/>
      <c r="J8" s="4"/>
      <c r="K8" s="4"/>
      <c r="L8">
        <f>IF(COUNT($F8:$K8)=0,"",ROUND(AVERAGE($F8:$K8),0))</f>
      </c>
      <c r="M8" s="4"/>
    </row>
    <row r="9">
      <c r="A9" s="2">
        <f>PLAN_180!$B9</f>
      </c>
      <c r="B9">
        <f>PLAN_180!$A9</f>
      </c>
      <c r="C9">
        <f>PLAN_180!$D9</f>
      </c>
      <c r="D9">
        <f>PLAN_180!$H9</f>
      </c>
      <c r="E9" s="4"/>
      <c r="F9" s="4"/>
      <c r="G9" s="4"/>
      <c r="H9" s="4"/>
      <c r="I9" s="4"/>
      <c r="J9" s="4"/>
      <c r="K9" s="4"/>
      <c r="L9">
        <f>IF(COUNT($F9:$K9)=0,"",ROUND(AVERAGE($F9:$K9),0))</f>
      </c>
      <c r="M9" s="4"/>
    </row>
    <row r="10">
      <c r="A10" s="2">
        <f>PLAN_180!$B10</f>
      </c>
      <c r="B10">
        <f>PLAN_180!$A10</f>
      </c>
      <c r="C10">
        <f>PLAN_180!$D10</f>
      </c>
      <c r="D10">
        <f>PLAN_180!$H10</f>
      </c>
      <c r="E10" s="4"/>
      <c r="F10" s="4"/>
      <c r="G10" s="4"/>
      <c r="H10" s="4"/>
      <c r="I10" s="4"/>
      <c r="J10" s="4"/>
      <c r="K10" s="4"/>
      <c r="L10">
        <f>IF(COUNT($F10:$K10)=0,"",ROUND(AVERAGE($F10:$K10),0))</f>
      </c>
      <c r="M10" s="4"/>
    </row>
    <row r="11">
      <c r="A11" s="2">
        <f>PLAN_180!$B11</f>
      </c>
      <c r="B11">
        <f>PLAN_180!$A11</f>
      </c>
      <c r="C11">
        <f>PLAN_180!$D11</f>
      </c>
      <c r="D11">
        <f>PLAN_180!$H11</f>
      </c>
      <c r="E11" s="4"/>
      <c r="F11" s="4"/>
      <c r="G11" s="4"/>
      <c r="H11" s="4"/>
      <c r="I11" s="4"/>
      <c r="J11" s="4"/>
      <c r="K11" s="4"/>
      <c r="L11">
        <f>IF(COUNT($F11:$K11)=0,"",ROUND(AVERAGE($F11:$K11),0))</f>
      </c>
      <c r="M11" s="4"/>
    </row>
    <row r="12">
      <c r="A12" s="2">
        <f>PLAN_180!$B12</f>
      </c>
      <c r="B12">
        <f>PLAN_180!$A12</f>
      </c>
      <c r="C12">
        <f>PLAN_180!$D12</f>
      </c>
      <c r="D12">
        <f>PLAN_180!$H12</f>
      </c>
      <c r="E12" s="4"/>
      <c r="F12" s="4"/>
      <c r="G12" s="4"/>
      <c r="H12" s="4"/>
      <c r="I12" s="4"/>
      <c r="J12" s="4"/>
      <c r="K12" s="4"/>
      <c r="L12">
        <f>IF(COUNT($F12:$K12)=0,"",ROUND(AVERAGE($F12:$K12),0))</f>
      </c>
      <c r="M12" s="4"/>
    </row>
    <row r="13">
      <c r="A13" s="2">
        <f>PLAN_180!$B13</f>
      </c>
      <c r="B13">
        <f>PLAN_180!$A13</f>
      </c>
      <c r="C13">
        <f>PLAN_180!$D13</f>
      </c>
      <c r="D13">
        <f>PLAN_180!$H13</f>
      </c>
      <c r="E13" s="4"/>
      <c r="F13" s="4"/>
      <c r="G13" s="4"/>
      <c r="H13" s="4"/>
      <c r="I13" s="4"/>
      <c r="J13" s="4"/>
      <c r="K13" s="4"/>
      <c r="L13">
        <f>IF(COUNT($F13:$K13)=0,"",ROUND(AVERAGE($F13:$K13),0))</f>
      </c>
      <c r="M13" s="4"/>
    </row>
    <row r="14">
      <c r="A14" s="2">
        <f>PLAN_180!$B14</f>
      </c>
      <c r="B14">
        <f>PLAN_180!$A14</f>
      </c>
      <c r="C14">
        <f>PLAN_180!$D14</f>
      </c>
      <c r="D14">
        <f>PLAN_180!$H14</f>
      </c>
      <c r="E14" s="4"/>
      <c r="F14" s="4"/>
      <c r="G14" s="4"/>
      <c r="H14" s="4"/>
      <c r="I14" s="4"/>
      <c r="J14" s="4"/>
      <c r="K14" s="4"/>
      <c r="L14">
        <f>IF(COUNT($F14:$K14)=0,"",ROUND(AVERAGE($F14:$K14),0))</f>
      </c>
      <c r="M14" s="4"/>
    </row>
    <row r="15">
      <c r="A15" s="2">
        <f>PLAN_180!$B15</f>
      </c>
      <c r="B15">
        <f>PLAN_180!$A15</f>
      </c>
      <c r="C15">
        <f>PLAN_180!$D15</f>
      </c>
      <c r="D15">
        <f>PLAN_180!$H15</f>
      </c>
      <c r="E15" s="4"/>
      <c r="F15" s="4"/>
      <c r="G15" s="4"/>
      <c r="H15" s="4"/>
      <c r="I15" s="4"/>
      <c r="J15" s="4"/>
      <c r="K15" s="4"/>
      <c r="L15">
        <f>IF(COUNT($F15:$K15)=0,"",ROUND(AVERAGE($F15:$K15),0))</f>
      </c>
      <c r="M15" s="4"/>
    </row>
    <row r="16">
      <c r="A16" s="2">
        <f>PLAN_180!$B16</f>
      </c>
      <c r="B16">
        <f>PLAN_180!$A16</f>
      </c>
      <c r="C16">
        <f>PLAN_180!$D16</f>
      </c>
      <c r="D16">
        <f>PLAN_180!$H16</f>
      </c>
      <c r="E16" s="4"/>
      <c r="F16" s="4"/>
      <c r="G16" s="4"/>
      <c r="H16" s="4"/>
      <c r="I16" s="4"/>
      <c r="J16" s="4"/>
      <c r="K16" s="4"/>
      <c r="L16">
        <f>IF(COUNT($F16:$K16)=0,"",ROUND(AVERAGE($F16:$K16),0))</f>
      </c>
      <c r="M16" s="4"/>
    </row>
    <row r="17">
      <c r="A17" s="2">
        <f>PLAN_180!$B17</f>
      </c>
      <c r="B17">
        <f>PLAN_180!$A17</f>
      </c>
      <c r="C17">
        <f>PLAN_180!$D17</f>
      </c>
      <c r="D17">
        <f>PLAN_180!$H17</f>
      </c>
      <c r="E17" s="4"/>
      <c r="F17" s="4"/>
      <c r="G17" s="4"/>
      <c r="H17" s="4"/>
      <c r="I17" s="4"/>
      <c r="J17" s="4"/>
      <c r="K17" s="4"/>
      <c r="L17">
        <f>IF(COUNT($F17:$K17)=0,"",ROUND(AVERAGE($F17:$K17),0))</f>
      </c>
      <c r="M17" s="4"/>
    </row>
    <row r="18">
      <c r="A18" s="2">
        <f>PLAN_180!$B18</f>
      </c>
      <c r="B18">
        <f>PLAN_180!$A18</f>
      </c>
      <c r="C18">
        <f>PLAN_180!$D18</f>
      </c>
      <c r="D18">
        <f>PLAN_180!$H18</f>
      </c>
      <c r="E18" s="4"/>
      <c r="F18" s="4"/>
      <c r="G18" s="4"/>
      <c r="H18" s="4"/>
      <c r="I18" s="4"/>
      <c r="J18" s="4"/>
      <c r="K18" s="4"/>
      <c r="L18">
        <f>IF(COUNT($F18:$K18)=0,"",ROUND(AVERAGE($F18:$K18),0))</f>
      </c>
      <c r="M18" s="4"/>
    </row>
    <row r="19">
      <c r="A19" s="2">
        <f>PLAN_180!$B19</f>
      </c>
      <c r="B19">
        <f>PLAN_180!$A19</f>
      </c>
      <c r="C19">
        <f>PLAN_180!$D19</f>
      </c>
      <c r="D19">
        <f>PLAN_180!$H19</f>
      </c>
      <c r="E19" s="4"/>
      <c r="F19" s="4"/>
      <c r="G19" s="4"/>
      <c r="H19" s="4"/>
      <c r="I19" s="4"/>
      <c r="J19" s="4"/>
      <c r="K19" s="4"/>
      <c r="L19">
        <f>IF(COUNT($F19:$K19)=0,"",ROUND(AVERAGE($F19:$K19),0))</f>
      </c>
      <c r="M19" s="4"/>
    </row>
    <row r="20">
      <c r="A20" s="2">
        <f>PLAN_180!$B20</f>
      </c>
      <c r="B20">
        <f>PLAN_180!$A20</f>
      </c>
      <c r="C20">
        <f>PLAN_180!$D20</f>
      </c>
      <c r="D20">
        <f>PLAN_180!$H20</f>
      </c>
      <c r="E20" s="4"/>
      <c r="F20" s="4"/>
      <c r="G20" s="4"/>
      <c r="H20" s="4"/>
      <c r="I20" s="4"/>
      <c r="J20" s="4"/>
      <c r="K20" s="4"/>
      <c r="L20">
        <f>IF(COUNT($F20:$K20)=0,"",ROUND(AVERAGE($F20:$K20),0))</f>
      </c>
      <c r="M20" s="4"/>
    </row>
    <row r="21">
      <c r="A21" s="2">
        <f>PLAN_180!$B21</f>
      </c>
      <c r="B21">
        <f>PLAN_180!$A21</f>
      </c>
      <c r="C21">
        <f>PLAN_180!$D21</f>
      </c>
      <c r="D21">
        <f>PLAN_180!$H21</f>
      </c>
      <c r="E21" s="4"/>
      <c r="F21" s="4"/>
      <c r="G21" s="4"/>
      <c r="H21" s="4"/>
      <c r="I21" s="4"/>
      <c r="J21" s="4"/>
      <c r="K21" s="4"/>
      <c r="L21">
        <f>IF(COUNT($F21:$K21)=0,"",ROUND(AVERAGE($F21:$K21),0))</f>
      </c>
      <c r="M21" s="4"/>
    </row>
    <row r="22">
      <c r="A22" s="2">
        <f>PLAN_180!$B22</f>
      </c>
      <c r="B22">
        <f>PLAN_180!$A22</f>
      </c>
      <c r="C22">
        <f>PLAN_180!$D22</f>
      </c>
      <c r="D22">
        <f>PLAN_180!$H22</f>
      </c>
      <c r="E22" s="4"/>
      <c r="F22" s="4"/>
      <c r="G22" s="4"/>
      <c r="H22" s="4"/>
      <c r="I22" s="4"/>
      <c r="J22" s="4"/>
      <c r="K22" s="4"/>
      <c r="L22">
        <f>IF(COUNT($F22:$K22)=0,"",ROUND(AVERAGE($F22:$K22),0))</f>
      </c>
      <c r="M22" s="4"/>
    </row>
    <row r="23">
      <c r="A23" s="2">
        <f>PLAN_180!$B23</f>
      </c>
      <c r="B23">
        <f>PLAN_180!$A23</f>
      </c>
      <c r="C23">
        <f>PLAN_180!$D23</f>
      </c>
      <c r="D23">
        <f>PLAN_180!$H23</f>
      </c>
      <c r="E23" s="4"/>
      <c r="F23" s="4"/>
      <c r="G23" s="4"/>
      <c r="H23" s="4"/>
      <c r="I23" s="4"/>
      <c r="J23" s="4"/>
      <c r="K23" s="4"/>
      <c r="L23">
        <f>IF(COUNT($F23:$K23)=0,"",ROUND(AVERAGE($F23:$K23),0))</f>
      </c>
      <c r="M23" s="4"/>
    </row>
    <row r="24">
      <c r="A24" s="2">
        <f>PLAN_180!$B24</f>
      </c>
      <c r="B24">
        <f>PLAN_180!$A24</f>
      </c>
      <c r="C24">
        <f>PLAN_180!$D24</f>
      </c>
      <c r="D24">
        <f>PLAN_180!$H24</f>
      </c>
      <c r="E24" s="4"/>
      <c r="F24" s="4"/>
      <c r="G24" s="4"/>
      <c r="H24" s="4"/>
      <c r="I24" s="4"/>
      <c r="J24" s="4"/>
      <c r="K24" s="4"/>
      <c r="L24">
        <f>IF(COUNT($F24:$K24)=0,"",ROUND(AVERAGE($F24:$K24),0))</f>
      </c>
      <c r="M24" s="4"/>
    </row>
    <row r="25">
      <c r="A25" s="2">
        <f>PLAN_180!$B25</f>
      </c>
      <c r="B25">
        <f>PLAN_180!$A25</f>
      </c>
      <c r="C25">
        <f>PLAN_180!$D25</f>
      </c>
      <c r="D25">
        <f>PLAN_180!$H25</f>
      </c>
      <c r="E25" s="4"/>
      <c r="F25" s="4"/>
      <c r="G25" s="4"/>
      <c r="H25" s="4"/>
      <c r="I25" s="4"/>
      <c r="J25" s="4"/>
      <c r="K25" s="4"/>
      <c r="L25">
        <f>IF(COUNT($F25:$K25)=0,"",ROUND(AVERAGE($F25:$K25),0))</f>
      </c>
      <c r="M25" s="4"/>
    </row>
    <row r="26">
      <c r="A26" s="2">
        <f>PLAN_180!$B26</f>
      </c>
      <c r="B26">
        <f>PLAN_180!$A26</f>
      </c>
      <c r="C26">
        <f>PLAN_180!$D26</f>
      </c>
      <c r="D26">
        <f>PLAN_180!$H26</f>
      </c>
      <c r="E26" s="4"/>
      <c r="F26" s="4"/>
      <c r="G26" s="4"/>
      <c r="H26" s="4"/>
      <c r="I26" s="4"/>
      <c r="J26" s="4"/>
      <c r="K26" s="4"/>
      <c r="L26">
        <f>IF(COUNT($F26:$K26)=0,"",ROUND(AVERAGE($F26:$K26),0))</f>
      </c>
      <c r="M26" s="4"/>
    </row>
    <row r="27">
      <c r="A27" s="2">
        <f>PLAN_180!$B27</f>
      </c>
      <c r="B27">
        <f>PLAN_180!$A27</f>
      </c>
      <c r="C27">
        <f>PLAN_180!$D27</f>
      </c>
      <c r="D27">
        <f>PLAN_180!$H27</f>
      </c>
      <c r="E27" s="4"/>
      <c r="F27" s="4"/>
      <c r="G27" s="4"/>
      <c r="H27" s="4"/>
      <c r="I27" s="4"/>
      <c r="J27" s="4"/>
      <c r="K27" s="4"/>
      <c r="L27">
        <f>IF(COUNT($F27:$K27)=0,"",ROUND(AVERAGE($F27:$K27),0))</f>
      </c>
      <c r="M27" s="4"/>
    </row>
    <row r="28">
      <c r="A28" s="2">
        <f>PLAN_180!$B28</f>
      </c>
      <c r="B28">
        <f>PLAN_180!$A28</f>
      </c>
      <c r="C28">
        <f>PLAN_180!$D28</f>
      </c>
      <c r="D28">
        <f>PLAN_180!$H28</f>
      </c>
      <c r="E28" s="4"/>
      <c r="F28" s="4"/>
      <c r="G28" s="4"/>
      <c r="H28" s="4"/>
      <c r="I28" s="4"/>
      <c r="J28" s="4"/>
      <c r="K28" s="4"/>
      <c r="L28">
        <f>IF(COUNT($F28:$K28)=0,"",ROUND(AVERAGE($F28:$K28),0))</f>
      </c>
      <c r="M28" s="4"/>
    </row>
    <row r="29">
      <c r="A29" s="2">
        <f>PLAN_180!$B29</f>
      </c>
      <c r="B29">
        <f>PLAN_180!$A29</f>
      </c>
      <c r="C29">
        <f>PLAN_180!$D29</f>
      </c>
      <c r="D29">
        <f>PLAN_180!$H29</f>
      </c>
      <c r="E29" s="4"/>
      <c r="F29" s="4"/>
      <c r="G29" s="4"/>
      <c r="H29" s="4"/>
      <c r="I29" s="4"/>
      <c r="J29" s="4"/>
      <c r="K29" s="4"/>
      <c r="L29">
        <f>IF(COUNT($F29:$K29)=0,"",ROUND(AVERAGE($F29:$K29),0))</f>
      </c>
      <c r="M29" s="4"/>
    </row>
    <row r="30">
      <c r="A30" s="2">
        <f>PLAN_180!$B30</f>
      </c>
      <c r="B30">
        <f>PLAN_180!$A30</f>
      </c>
      <c r="C30">
        <f>PLAN_180!$D30</f>
      </c>
      <c r="D30">
        <f>PLAN_180!$H30</f>
      </c>
      <c r="E30" s="4"/>
      <c r="F30" s="4"/>
      <c r="G30" s="4"/>
      <c r="H30" s="4"/>
      <c r="I30" s="4"/>
      <c r="J30" s="4"/>
      <c r="K30" s="4"/>
      <c r="L30">
        <f>IF(COUNT($F30:$K30)=0,"",ROUND(AVERAGE($F30:$K30),0))</f>
      </c>
      <c r="M30" s="4"/>
    </row>
    <row r="31">
      <c r="A31" s="2">
        <f>PLAN_180!$B31</f>
      </c>
      <c r="B31">
        <f>PLAN_180!$A31</f>
      </c>
      <c r="C31">
        <f>PLAN_180!$D31</f>
      </c>
      <c r="D31">
        <f>PLAN_180!$H31</f>
      </c>
      <c r="E31" s="4"/>
      <c r="F31" s="4"/>
      <c r="G31" s="4"/>
      <c r="H31" s="4"/>
      <c r="I31" s="4"/>
      <c r="J31" s="4"/>
      <c r="K31" s="4"/>
      <c r="L31">
        <f>IF(COUNT($F31:$K31)=0,"",ROUND(AVERAGE($F31:$K31),0))</f>
      </c>
      <c r="M31" s="4"/>
    </row>
    <row r="32">
      <c r="A32" s="2">
        <f>PLAN_180!$B32</f>
      </c>
      <c r="B32">
        <f>PLAN_180!$A32</f>
      </c>
      <c r="C32">
        <f>PLAN_180!$D32</f>
      </c>
      <c r="D32">
        <f>PLAN_180!$H32</f>
      </c>
      <c r="E32" s="4"/>
      <c r="F32" s="4"/>
      <c r="G32" s="4"/>
      <c r="H32" s="4"/>
      <c r="I32" s="4"/>
      <c r="J32" s="4"/>
      <c r="K32" s="4"/>
      <c r="L32">
        <f>IF(COUNT($F32:$K32)=0,"",ROUND(AVERAGE($F32:$K32),0))</f>
      </c>
      <c r="M32" s="4"/>
    </row>
    <row r="33">
      <c r="A33" s="2">
        <f>PLAN_180!$B33</f>
      </c>
      <c r="B33">
        <f>PLAN_180!$A33</f>
      </c>
      <c r="C33">
        <f>PLAN_180!$D33</f>
      </c>
      <c r="D33">
        <f>PLAN_180!$H33</f>
      </c>
      <c r="E33" s="4"/>
      <c r="F33" s="4"/>
      <c r="G33" s="4"/>
      <c r="H33" s="4"/>
      <c r="I33" s="4"/>
      <c r="J33" s="4"/>
      <c r="K33" s="4"/>
      <c r="L33">
        <f>IF(COUNT($F33:$K33)=0,"",ROUND(AVERAGE($F33:$K33),0))</f>
      </c>
      <c r="M33" s="4"/>
    </row>
    <row r="34">
      <c r="A34" s="2">
        <f>PLAN_180!$B34</f>
      </c>
      <c r="B34">
        <f>PLAN_180!$A34</f>
      </c>
      <c r="C34">
        <f>PLAN_180!$D34</f>
      </c>
      <c r="D34">
        <f>PLAN_180!$H34</f>
      </c>
      <c r="E34" s="4"/>
      <c r="F34" s="4"/>
      <c r="G34" s="4"/>
      <c r="H34" s="4"/>
      <c r="I34" s="4"/>
      <c r="J34" s="4"/>
      <c r="K34" s="4"/>
      <c r="L34">
        <f>IF(COUNT($F34:$K34)=0,"",ROUND(AVERAGE($F34:$K34),0))</f>
      </c>
      <c r="M34" s="4"/>
    </row>
    <row r="35">
      <c r="A35" s="2">
        <f>PLAN_180!$B35</f>
      </c>
      <c r="B35">
        <f>PLAN_180!$A35</f>
      </c>
      <c r="C35">
        <f>PLAN_180!$D35</f>
      </c>
      <c r="D35">
        <f>PLAN_180!$H35</f>
      </c>
      <c r="E35" s="4"/>
      <c r="F35" s="4"/>
      <c r="G35" s="4"/>
      <c r="H35" s="4"/>
      <c r="I35" s="4"/>
      <c r="J35" s="4"/>
      <c r="K35" s="4"/>
      <c r="L35">
        <f>IF(COUNT($F35:$K35)=0,"",ROUND(AVERAGE($F35:$K35),0))</f>
      </c>
      <c r="M35" s="4"/>
    </row>
    <row r="36">
      <c r="A36" s="2">
        <f>PLAN_180!$B36</f>
      </c>
      <c r="B36">
        <f>PLAN_180!$A36</f>
      </c>
      <c r="C36">
        <f>PLAN_180!$D36</f>
      </c>
      <c r="D36">
        <f>PLAN_180!$H36</f>
      </c>
      <c r="E36" s="4"/>
      <c r="F36" s="4"/>
      <c r="G36" s="4"/>
      <c r="H36" s="4"/>
      <c r="I36" s="4"/>
      <c r="J36" s="4"/>
      <c r="K36" s="4"/>
      <c r="L36">
        <f>IF(COUNT($F36:$K36)=0,"",ROUND(AVERAGE($F36:$K36),0))</f>
      </c>
      <c r="M36" s="4"/>
    </row>
    <row r="37">
      <c r="A37" s="2">
        <f>PLAN_180!$B37</f>
      </c>
      <c r="B37">
        <f>PLAN_180!$A37</f>
      </c>
      <c r="C37">
        <f>PLAN_180!$D37</f>
      </c>
      <c r="D37">
        <f>PLAN_180!$H37</f>
      </c>
      <c r="E37" s="4"/>
      <c r="F37" s="4"/>
      <c r="G37" s="4"/>
      <c r="H37" s="4"/>
      <c r="I37" s="4"/>
      <c r="J37" s="4"/>
      <c r="K37" s="4"/>
      <c r="L37">
        <f>IF(COUNT($F37:$K37)=0,"",ROUND(AVERAGE($F37:$K37),0))</f>
      </c>
      <c r="M37" s="4"/>
    </row>
    <row r="38">
      <c r="A38" s="2">
        <f>PLAN_180!$B38</f>
      </c>
      <c r="B38">
        <f>PLAN_180!$A38</f>
      </c>
      <c r="C38">
        <f>PLAN_180!$D38</f>
      </c>
      <c r="D38">
        <f>PLAN_180!$H38</f>
      </c>
      <c r="E38" s="4"/>
      <c r="F38" s="4"/>
      <c r="G38" s="4"/>
      <c r="H38" s="4"/>
      <c r="I38" s="4"/>
      <c r="J38" s="4"/>
      <c r="K38" s="4"/>
      <c r="L38">
        <f>IF(COUNT($F38:$K38)=0,"",ROUND(AVERAGE($F38:$K38),0))</f>
      </c>
      <c r="M38" s="4"/>
    </row>
    <row r="39">
      <c r="A39" s="2">
        <f>PLAN_180!$B39</f>
      </c>
      <c r="B39">
        <f>PLAN_180!$A39</f>
      </c>
      <c r="C39">
        <f>PLAN_180!$D39</f>
      </c>
      <c r="D39">
        <f>PLAN_180!$H39</f>
      </c>
      <c r="E39" s="4"/>
      <c r="F39" s="4"/>
      <c r="G39" s="4"/>
      <c r="H39" s="4"/>
      <c r="I39" s="4"/>
      <c r="J39" s="4"/>
      <c r="K39" s="4"/>
      <c r="L39">
        <f>IF(COUNT($F39:$K39)=0,"",ROUND(AVERAGE($F39:$K39),0))</f>
      </c>
      <c r="M39" s="4"/>
    </row>
    <row r="40">
      <c r="A40" s="2">
        <f>PLAN_180!$B40</f>
      </c>
      <c r="B40">
        <f>PLAN_180!$A40</f>
      </c>
      <c r="C40">
        <f>PLAN_180!$D40</f>
      </c>
      <c r="D40">
        <f>PLAN_180!$H40</f>
      </c>
      <c r="E40" s="4"/>
      <c r="F40" s="4"/>
      <c r="G40" s="4"/>
      <c r="H40" s="4"/>
      <c r="I40" s="4"/>
      <c r="J40" s="4"/>
      <c r="K40" s="4"/>
      <c r="L40">
        <f>IF(COUNT($F40:$K40)=0,"",ROUND(AVERAGE($F40:$K40),0))</f>
      </c>
      <c r="M40" s="4"/>
    </row>
    <row r="41">
      <c r="A41" s="2">
        <f>PLAN_180!$B41</f>
      </c>
      <c r="B41">
        <f>PLAN_180!$A41</f>
      </c>
      <c r="C41">
        <f>PLAN_180!$D41</f>
      </c>
      <c r="D41">
        <f>PLAN_180!$H41</f>
      </c>
      <c r="E41" s="4"/>
      <c r="F41" s="4"/>
      <c r="G41" s="4"/>
      <c r="H41" s="4"/>
      <c r="I41" s="4"/>
      <c r="J41" s="4"/>
      <c r="K41" s="4"/>
      <c r="L41">
        <f>IF(COUNT($F41:$K41)=0,"",ROUND(AVERAGE($F41:$K41),0))</f>
      </c>
      <c r="M41" s="4"/>
    </row>
    <row r="42">
      <c r="A42" s="2">
        <f>PLAN_180!$B42</f>
      </c>
      <c r="B42">
        <f>PLAN_180!$A42</f>
      </c>
      <c r="C42">
        <f>PLAN_180!$D42</f>
      </c>
      <c r="D42">
        <f>PLAN_180!$H42</f>
      </c>
      <c r="E42" s="4"/>
      <c r="F42" s="4"/>
      <c r="G42" s="4"/>
      <c r="H42" s="4"/>
      <c r="I42" s="4"/>
      <c r="J42" s="4"/>
      <c r="K42" s="4"/>
      <c r="L42">
        <f>IF(COUNT($F42:$K42)=0,"",ROUND(AVERAGE($F42:$K42),0))</f>
      </c>
      <c r="M42" s="4"/>
    </row>
    <row r="43">
      <c r="A43" s="2">
        <f>PLAN_180!$B43</f>
      </c>
      <c r="B43">
        <f>PLAN_180!$A43</f>
      </c>
      <c r="C43">
        <f>PLAN_180!$D43</f>
      </c>
      <c r="D43">
        <f>PLAN_180!$H43</f>
      </c>
      <c r="E43" s="4"/>
      <c r="F43" s="4"/>
      <c r="G43" s="4"/>
      <c r="H43" s="4"/>
      <c r="I43" s="4"/>
      <c r="J43" s="4"/>
      <c r="K43" s="4"/>
      <c r="L43">
        <f>IF(COUNT($F43:$K43)=0,"",ROUND(AVERAGE($F43:$K43),0))</f>
      </c>
      <c r="M43" s="4"/>
    </row>
    <row r="44">
      <c r="A44" s="2">
        <f>PLAN_180!$B44</f>
      </c>
      <c r="B44">
        <f>PLAN_180!$A44</f>
      </c>
      <c r="C44">
        <f>PLAN_180!$D44</f>
      </c>
      <c r="D44">
        <f>PLAN_180!$H44</f>
      </c>
      <c r="E44" s="4"/>
      <c r="F44" s="4"/>
      <c r="G44" s="4"/>
      <c r="H44" s="4"/>
      <c r="I44" s="4"/>
      <c r="J44" s="4"/>
      <c r="K44" s="4"/>
      <c r="L44">
        <f>IF(COUNT($F44:$K44)=0,"",ROUND(AVERAGE($F44:$K44),0))</f>
      </c>
      <c r="M44" s="4"/>
    </row>
    <row r="45">
      <c r="A45" s="2">
        <f>PLAN_180!$B45</f>
      </c>
      <c r="B45">
        <f>PLAN_180!$A45</f>
      </c>
      <c r="C45">
        <f>PLAN_180!$D45</f>
      </c>
      <c r="D45">
        <f>PLAN_180!$H45</f>
      </c>
      <c r="E45" s="4"/>
      <c r="F45" s="4"/>
      <c r="G45" s="4"/>
      <c r="H45" s="4"/>
      <c r="I45" s="4"/>
      <c r="J45" s="4"/>
      <c r="K45" s="4"/>
      <c r="L45">
        <f>IF(COUNT($F45:$K45)=0,"",ROUND(AVERAGE($F45:$K45),0))</f>
      </c>
      <c r="M45" s="4"/>
    </row>
    <row r="46">
      <c r="A46" s="2">
        <f>PLAN_180!$B46</f>
      </c>
      <c r="B46">
        <f>PLAN_180!$A46</f>
      </c>
      <c r="C46">
        <f>PLAN_180!$D46</f>
      </c>
      <c r="D46">
        <f>PLAN_180!$H46</f>
      </c>
      <c r="E46" s="4"/>
      <c r="F46" s="4"/>
      <c r="G46" s="4"/>
      <c r="H46" s="4"/>
      <c r="I46" s="4"/>
      <c r="J46" s="4"/>
      <c r="K46" s="4"/>
      <c r="L46">
        <f>IF(COUNT($F46:$K46)=0,"",ROUND(AVERAGE($F46:$K46),0))</f>
      </c>
      <c r="M46" s="4"/>
    </row>
    <row r="47">
      <c r="A47" s="2">
        <f>PLAN_180!$B47</f>
      </c>
      <c r="B47">
        <f>PLAN_180!$A47</f>
      </c>
      <c r="C47">
        <f>PLAN_180!$D47</f>
      </c>
      <c r="D47">
        <f>PLAN_180!$H47</f>
      </c>
      <c r="E47" s="4"/>
      <c r="F47" s="4"/>
      <c r="G47" s="4"/>
      <c r="H47" s="4"/>
      <c r="I47" s="4"/>
      <c r="J47" s="4"/>
      <c r="K47" s="4"/>
      <c r="L47">
        <f>IF(COUNT($F47:$K47)=0,"",ROUND(AVERAGE($F47:$K47),0))</f>
      </c>
      <c r="M47" s="4"/>
    </row>
    <row r="48">
      <c r="A48" s="2">
        <f>PLAN_180!$B48</f>
      </c>
      <c r="B48">
        <f>PLAN_180!$A48</f>
      </c>
      <c r="C48">
        <f>PLAN_180!$D48</f>
      </c>
      <c r="D48">
        <f>PLAN_180!$H48</f>
      </c>
      <c r="E48" s="4"/>
      <c r="F48" s="4"/>
      <c r="G48" s="4"/>
      <c r="H48" s="4"/>
      <c r="I48" s="4"/>
      <c r="J48" s="4"/>
      <c r="K48" s="4"/>
      <c r="L48">
        <f>IF(COUNT($F48:$K48)=0,"",ROUND(AVERAGE($F48:$K48),0))</f>
      </c>
      <c r="M48" s="4"/>
    </row>
    <row r="49">
      <c r="A49" s="2">
        <f>PLAN_180!$B49</f>
      </c>
      <c r="B49">
        <f>PLAN_180!$A49</f>
      </c>
      <c r="C49">
        <f>PLAN_180!$D49</f>
      </c>
      <c r="D49">
        <f>PLAN_180!$H49</f>
      </c>
      <c r="E49" s="4"/>
      <c r="F49" s="4"/>
      <c r="G49" s="4"/>
      <c r="H49" s="4"/>
      <c r="I49" s="4"/>
      <c r="J49" s="4"/>
      <c r="K49" s="4"/>
      <c r="L49">
        <f>IF(COUNT($F49:$K49)=0,"",ROUND(AVERAGE($F49:$K49),0))</f>
      </c>
      <c r="M49" s="4"/>
    </row>
    <row r="50">
      <c r="A50" s="2">
        <f>PLAN_180!$B50</f>
      </c>
      <c r="B50">
        <f>PLAN_180!$A50</f>
      </c>
      <c r="C50">
        <f>PLAN_180!$D50</f>
      </c>
      <c r="D50">
        <f>PLAN_180!$H50</f>
      </c>
      <c r="E50" s="4"/>
      <c r="F50" s="4"/>
      <c r="G50" s="4"/>
      <c r="H50" s="4"/>
      <c r="I50" s="4"/>
      <c r="J50" s="4"/>
      <c r="K50" s="4"/>
      <c r="L50">
        <f>IF(COUNT($F50:$K50)=0,"",ROUND(AVERAGE($F50:$K50),0))</f>
      </c>
      <c r="M50" s="4"/>
    </row>
    <row r="51">
      <c r="A51" s="2">
        <f>PLAN_180!$B51</f>
      </c>
      <c r="B51">
        <f>PLAN_180!$A51</f>
      </c>
      <c r="C51">
        <f>PLAN_180!$D51</f>
      </c>
      <c r="D51">
        <f>PLAN_180!$H51</f>
      </c>
      <c r="E51" s="4"/>
      <c r="F51" s="4"/>
      <c r="G51" s="4"/>
      <c r="H51" s="4"/>
      <c r="I51" s="4"/>
      <c r="J51" s="4"/>
      <c r="K51" s="4"/>
      <c r="L51">
        <f>IF(COUNT($F51:$K51)=0,"",ROUND(AVERAGE($F51:$K51),0))</f>
      </c>
      <c r="M51" s="4"/>
    </row>
    <row r="52">
      <c r="A52" s="2">
        <f>PLAN_180!$B52</f>
      </c>
      <c r="B52">
        <f>PLAN_180!$A52</f>
      </c>
      <c r="C52">
        <f>PLAN_180!$D52</f>
      </c>
      <c r="D52">
        <f>PLAN_180!$H52</f>
      </c>
      <c r="E52" s="4"/>
      <c r="F52" s="4"/>
      <c r="G52" s="4"/>
      <c r="H52" s="4"/>
      <c r="I52" s="4"/>
      <c r="J52" s="4"/>
      <c r="K52" s="4"/>
      <c r="L52">
        <f>IF(COUNT($F52:$K52)=0,"",ROUND(AVERAGE($F52:$K52),0))</f>
      </c>
      <c r="M52" s="4"/>
    </row>
    <row r="53">
      <c r="A53" s="2">
        <f>PLAN_180!$B53</f>
      </c>
      <c r="B53">
        <f>PLAN_180!$A53</f>
      </c>
      <c r="C53">
        <f>PLAN_180!$D53</f>
      </c>
      <c r="D53">
        <f>PLAN_180!$H53</f>
      </c>
      <c r="E53" s="4"/>
      <c r="F53" s="4"/>
      <c r="G53" s="4"/>
      <c r="H53" s="4"/>
      <c r="I53" s="4"/>
      <c r="J53" s="4"/>
      <c r="K53" s="4"/>
      <c r="L53">
        <f>IF(COUNT($F53:$K53)=0,"",ROUND(AVERAGE($F53:$K53),0))</f>
      </c>
      <c r="M53" s="4"/>
    </row>
    <row r="54">
      <c r="A54" s="2">
        <f>PLAN_180!$B54</f>
      </c>
      <c r="B54">
        <f>PLAN_180!$A54</f>
      </c>
      <c r="C54">
        <f>PLAN_180!$D54</f>
      </c>
      <c r="D54">
        <f>PLAN_180!$H54</f>
      </c>
      <c r="E54" s="4"/>
      <c r="F54" s="4"/>
      <c r="G54" s="4"/>
      <c r="H54" s="4"/>
      <c r="I54" s="4"/>
      <c r="J54" s="4"/>
      <c r="K54" s="4"/>
      <c r="L54">
        <f>IF(COUNT($F54:$K54)=0,"",ROUND(AVERAGE($F54:$K54),0))</f>
      </c>
      <c r="M54" s="4"/>
    </row>
    <row r="55">
      <c r="A55" s="2">
        <f>PLAN_180!$B55</f>
      </c>
      <c r="B55">
        <f>PLAN_180!$A55</f>
      </c>
      <c r="C55">
        <f>PLAN_180!$D55</f>
      </c>
      <c r="D55">
        <f>PLAN_180!$H55</f>
      </c>
      <c r="E55" s="4"/>
      <c r="F55" s="4"/>
      <c r="G55" s="4"/>
      <c r="H55" s="4"/>
      <c r="I55" s="4"/>
      <c r="J55" s="4"/>
      <c r="K55" s="4"/>
      <c r="L55">
        <f>IF(COUNT($F55:$K55)=0,"",ROUND(AVERAGE($F55:$K55),0))</f>
      </c>
      <c r="M55" s="4"/>
    </row>
    <row r="56">
      <c r="A56" s="2">
        <f>PLAN_180!$B56</f>
      </c>
      <c r="B56">
        <f>PLAN_180!$A56</f>
      </c>
      <c r="C56">
        <f>PLAN_180!$D56</f>
      </c>
      <c r="D56">
        <f>PLAN_180!$H56</f>
      </c>
      <c r="E56" s="4"/>
      <c r="F56" s="4"/>
      <c r="G56" s="4"/>
      <c r="H56" s="4"/>
      <c r="I56" s="4"/>
      <c r="J56" s="4"/>
      <c r="K56" s="4"/>
      <c r="L56">
        <f>IF(COUNT($F56:$K56)=0,"",ROUND(AVERAGE($F56:$K56),0))</f>
      </c>
      <c r="M56" s="4"/>
    </row>
    <row r="57">
      <c r="A57" s="2">
        <f>PLAN_180!$B57</f>
      </c>
      <c r="B57">
        <f>PLAN_180!$A57</f>
      </c>
      <c r="C57">
        <f>PLAN_180!$D57</f>
      </c>
      <c r="D57">
        <f>PLAN_180!$H57</f>
      </c>
      <c r="E57" s="4"/>
      <c r="F57" s="4"/>
      <c r="G57" s="4"/>
      <c r="H57" s="4"/>
      <c r="I57" s="4"/>
      <c r="J57" s="4"/>
      <c r="K57" s="4"/>
      <c r="L57">
        <f>IF(COUNT($F57:$K57)=0,"",ROUND(AVERAGE($F57:$K57),0))</f>
      </c>
      <c r="M57" s="4"/>
    </row>
    <row r="58">
      <c r="A58" s="2">
        <f>PLAN_180!$B58</f>
      </c>
      <c r="B58">
        <f>PLAN_180!$A58</f>
      </c>
      <c r="C58">
        <f>PLAN_180!$D58</f>
      </c>
      <c r="D58">
        <f>PLAN_180!$H58</f>
      </c>
      <c r="E58" s="4"/>
      <c r="F58" s="4"/>
      <c r="G58" s="4"/>
      <c r="H58" s="4"/>
      <c r="I58" s="4"/>
      <c r="J58" s="4"/>
      <c r="K58" s="4"/>
      <c r="L58">
        <f>IF(COUNT($F58:$K58)=0,"",ROUND(AVERAGE($F58:$K58),0))</f>
      </c>
      <c r="M58" s="4"/>
    </row>
    <row r="59">
      <c r="A59" s="2">
        <f>PLAN_180!$B59</f>
      </c>
      <c r="B59">
        <f>PLAN_180!$A59</f>
      </c>
      <c r="C59">
        <f>PLAN_180!$D59</f>
      </c>
      <c r="D59">
        <f>PLAN_180!$H59</f>
      </c>
      <c r="E59" s="4"/>
      <c r="F59" s="4"/>
      <c r="G59" s="4"/>
      <c r="H59" s="4"/>
      <c r="I59" s="4"/>
      <c r="J59" s="4"/>
      <c r="K59" s="4"/>
      <c r="L59">
        <f>IF(COUNT($F59:$K59)=0,"",ROUND(AVERAGE($F59:$K59),0))</f>
      </c>
      <c r="M59" s="4"/>
    </row>
    <row r="60">
      <c r="A60" s="2">
        <f>PLAN_180!$B60</f>
      </c>
      <c r="B60">
        <f>PLAN_180!$A60</f>
      </c>
      <c r="C60">
        <f>PLAN_180!$D60</f>
      </c>
      <c r="D60">
        <f>PLAN_180!$H60</f>
      </c>
      <c r="E60" s="4"/>
      <c r="F60" s="4"/>
      <c r="G60" s="4"/>
      <c r="H60" s="4"/>
      <c r="I60" s="4"/>
      <c r="J60" s="4"/>
      <c r="K60" s="4"/>
      <c r="L60">
        <f>IF(COUNT($F60:$K60)=0,"",ROUND(AVERAGE($F60:$K60),0))</f>
      </c>
      <c r="M60" s="4"/>
    </row>
    <row r="61">
      <c r="A61" s="2">
        <f>PLAN_180!$B61</f>
      </c>
      <c r="B61">
        <f>PLAN_180!$A61</f>
      </c>
      <c r="C61">
        <f>PLAN_180!$D61</f>
      </c>
      <c r="D61">
        <f>PLAN_180!$H61</f>
      </c>
      <c r="E61" s="4"/>
      <c r="F61" s="4"/>
      <c r="G61" s="4"/>
      <c r="H61" s="4"/>
      <c r="I61" s="4"/>
      <c r="J61" s="4"/>
      <c r="K61" s="4"/>
      <c r="L61">
        <f>IF(COUNT($F61:$K61)=0,"",ROUND(AVERAGE($F61:$K61),0))</f>
      </c>
      <c r="M61" s="4"/>
    </row>
    <row r="62">
      <c r="A62" s="2">
        <f>PLAN_180!$B62</f>
      </c>
      <c r="B62">
        <f>PLAN_180!$A62</f>
      </c>
      <c r="C62">
        <f>PLAN_180!$D62</f>
      </c>
      <c r="D62">
        <f>PLAN_180!$H62</f>
      </c>
      <c r="E62" s="4"/>
      <c r="F62" s="4"/>
      <c r="G62" s="4"/>
      <c r="H62" s="4"/>
      <c r="I62" s="4"/>
      <c r="J62" s="4"/>
      <c r="K62" s="4"/>
      <c r="L62">
        <f>IF(COUNT($F62:$K62)=0,"",ROUND(AVERAGE($F62:$K62),0))</f>
      </c>
      <c r="M62" s="4"/>
    </row>
    <row r="63">
      <c r="A63" s="2">
        <f>PLAN_180!$B63</f>
      </c>
      <c r="B63">
        <f>PLAN_180!$A63</f>
      </c>
      <c r="C63">
        <f>PLAN_180!$D63</f>
      </c>
      <c r="D63">
        <f>PLAN_180!$H63</f>
      </c>
      <c r="E63" s="4"/>
      <c r="F63" s="4"/>
      <c r="G63" s="4"/>
      <c r="H63" s="4"/>
      <c r="I63" s="4"/>
      <c r="J63" s="4"/>
      <c r="K63" s="4"/>
      <c r="L63">
        <f>IF(COUNT($F63:$K63)=0,"",ROUND(AVERAGE($F63:$K63),0))</f>
      </c>
      <c r="M63" s="4"/>
    </row>
    <row r="64">
      <c r="A64" s="2">
        <f>PLAN_180!$B64</f>
      </c>
      <c r="B64">
        <f>PLAN_180!$A64</f>
      </c>
      <c r="C64">
        <f>PLAN_180!$D64</f>
      </c>
      <c r="D64">
        <f>PLAN_180!$H64</f>
      </c>
      <c r="E64" s="4"/>
      <c r="F64" s="4"/>
      <c r="G64" s="4"/>
      <c r="H64" s="4"/>
      <c r="I64" s="4"/>
      <c r="J64" s="4"/>
      <c r="K64" s="4"/>
      <c r="L64">
        <f>IF(COUNT($F64:$K64)=0,"",ROUND(AVERAGE($F64:$K64),0))</f>
      </c>
      <c r="M64" s="4"/>
    </row>
    <row r="65">
      <c r="A65" s="2">
        <f>PLAN_180!$B65</f>
      </c>
      <c r="B65">
        <f>PLAN_180!$A65</f>
      </c>
      <c r="C65">
        <f>PLAN_180!$D65</f>
      </c>
      <c r="D65">
        <f>PLAN_180!$H65</f>
      </c>
      <c r="E65" s="4"/>
      <c r="F65" s="4"/>
      <c r="G65" s="4"/>
      <c r="H65" s="4"/>
      <c r="I65" s="4"/>
      <c r="J65" s="4"/>
      <c r="K65" s="4"/>
      <c r="L65">
        <f>IF(COUNT($F65:$K65)=0,"",ROUND(AVERAGE($F65:$K65),0))</f>
      </c>
      <c r="M65" s="4"/>
    </row>
    <row r="66">
      <c r="A66" s="2">
        <f>PLAN_180!$B66</f>
      </c>
      <c r="B66">
        <f>PLAN_180!$A66</f>
      </c>
      <c r="C66">
        <f>PLAN_180!$D66</f>
      </c>
      <c r="D66">
        <f>PLAN_180!$H66</f>
      </c>
      <c r="E66" s="4"/>
      <c r="F66" s="4"/>
      <c r="G66" s="4"/>
      <c r="H66" s="4"/>
      <c r="I66" s="4"/>
      <c r="J66" s="4"/>
      <c r="K66" s="4"/>
      <c r="L66">
        <f>IF(COUNT($F66:$K66)=0,"",ROUND(AVERAGE($F66:$K66),0))</f>
      </c>
      <c r="M66" s="4"/>
    </row>
    <row r="67">
      <c r="A67" s="2">
        <f>PLAN_180!$B67</f>
      </c>
      <c r="B67">
        <f>PLAN_180!$A67</f>
      </c>
      <c r="C67">
        <f>PLAN_180!$D67</f>
      </c>
      <c r="D67">
        <f>PLAN_180!$H67</f>
      </c>
      <c r="E67" s="4"/>
      <c r="F67" s="4"/>
      <c r="G67" s="4"/>
      <c r="H67" s="4"/>
      <c r="I67" s="4"/>
      <c r="J67" s="4"/>
      <c r="K67" s="4"/>
      <c r="L67">
        <f>IF(COUNT($F67:$K67)=0,"",ROUND(AVERAGE($F67:$K67),0))</f>
      </c>
      <c r="M67" s="4"/>
    </row>
    <row r="68">
      <c r="A68" s="2">
        <f>PLAN_180!$B68</f>
      </c>
      <c r="B68">
        <f>PLAN_180!$A68</f>
      </c>
      <c r="C68">
        <f>PLAN_180!$D68</f>
      </c>
      <c r="D68">
        <f>PLAN_180!$H68</f>
      </c>
      <c r="E68" s="4"/>
      <c r="F68" s="4"/>
      <c r="G68" s="4"/>
      <c r="H68" s="4"/>
      <c r="I68" s="4"/>
      <c r="J68" s="4"/>
      <c r="K68" s="4"/>
      <c r="L68">
        <f>IF(COUNT($F68:$K68)=0,"",ROUND(AVERAGE($F68:$K68),0))</f>
      </c>
      <c r="M68" s="4"/>
    </row>
    <row r="69">
      <c r="A69" s="2">
        <f>PLAN_180!$B69</f>
      </c>
      <c r="B69">
        <f>PLAN_180!$A69</f>
      </c>
      <c r="C69">
        <f>PLAN_180!$D69</f>
      </c>
      <c r="D69">
        <f>PLAN_180!$H69</f>
      </c>
      <c r="E69" s="4"/>
      <c r="F69" s="4"/>
      <c r="G69" s="4"/>
      <c r="H69" s="4"/>
      <c r="I69" s="4"/>
      <c r="J69" s="4"/>
      <c r="K69" s="4"/>
      <c r="L69">
        <f>IF(COUNT($F69:$K69)=0,"",ROUND(AVERAGE($F69:$K69),0))</f>
      </c>
      <c r="M69" s="4"/>
    </row>
    <row r="70">
      <c r="A70" s="2">
        <f>PLAN_180!$B70</f>
      </c>
      <c r="B70">
        <f>PLAN_180!$A70</f>
      </c>
      <c r="C70">
        <f>PLAN_180!$D70</f>
      </c>
      <c r="D70">
        <f>PLAN_180!$H70</f>
      </c>
      <c r="E70" s="4"/>
      <c r="F70" s="4"/>
      <c r="G70" s="4"/>
      <c r="H70" s="4"/>
      <c r="I70" s="4"/>
      <c r="J70" s="4"/>
      <c r="K70" s="4"/>
      <c r="L70">
        <f>IF(COUNT($F70:$K70)=0,"",ROUND(AVERAGE($F70:$K70),0))</f>
      </c>
      <c r="M70" s="4"/>
    </row>
    <row r="71">
      <c r="A71" s="2">
        <f>PLAN_180!$B71</f>
      </c>
      <c r="B71">
        <f>PLAN_180!$A71</f>
      </c>
      <c r="C71">
        <f>PLAN_180!$D71</f>
      </c>
      <c r="D71">
        <f>PLAN_180!$H71</f>
      </c>
      <c r="E71" s="4"/>
      <c r="F71" s="4"/>
      <c r="G71" s="4"/>
      <c r="H71" s="4"/>
      <c r="I71" s="4"/>
      <c r="J71" s="4"/>
      <c r="K71" s="4"/>
      <c r="L71">
        <f>IF(COUNT($F71:$K71)=0,"",ROUND(AVERAGE($F71:$K71),0))</f>
      </c>
      <c r="M71" s="4"/>
    </row>
    <row r="72">
      <c r="A72" s="2">
        <f>PLAN_180!$B72</f>
      </c>
      <c r="B72">
        <f>PLAN_180!$A72</f>
      </c>
      <c r="C72">
        <f>PLAN_180!$D72</f>
      </c>
      <c r="D72">
        <f>PLAN_180!$H72</f>
      </c>
      <c r="E72" s="4"/>
      <c r="F72" s="4"/>
      <c r="G72" s="4"/>
      <c r="H72" s="4"/>
      <c r="I72" s="4"/>
      <c r="J72" s="4"/>
      <c r="K72" s="4"/>
      <c r="L72">
        <f>IF(COUNT($F72:$K72)=0,"",ROUND(AVERAGE($F72:$K72),0))</f>
      </c>
      <c r="M72" s="4"/>
    </row>
    <row r="73">
      <c r="A73" s="2">
        <f>PLAN_180!$B73</f>
      </c>
      <c r="B73">
        <f>PLAN_180!$A73</f>
      </c>
      <c r="C73">
        <f>PLAN_180!$D73</f>
      </c>
      <c r="D73">
        <f>PLAN_180!$H73</f>
      </c>
      <c r="E73" s="4"/>
      <c r="F73" s="4"/>
      <c r="G73" s="4"/>
      <c r="H73" s="4"/>
      <c r="I73" s="4"/>
      <c r="J73" s="4"/>
      <c r="K73" s="4"/>
      <c r="L73">
        <f>IF(COUNT($F73:$K73)=0,"",ROUND(AVERAGE($F73:$K73),0))</f>
      </c>
      <c r="M73" s="4"/>
    </row>
    <row r="74">
      <c r="A74" s="2">
        <f>PLAN_180!$B74</f>
      </c>
      <c r="B74">
        <f>PLAN_180!$A74</f>
      </c>
      <c r="C74">
        <f>PLAN_180!$D74</f>
      </c>
      <c r="D74">
        <f>PLAN_180!$H74</f>
      </c>
      <c r="E74" s="4"/>
      <c r="F74" s="4"/>
      <c r="G74" s="4"/>
      <c r="H74" s="4"/>
      <c r="I74" s="4"/>
      <c r="J74" s="4"/>
      <c r="K74" s="4"/>
      <c r="L74">
        <f>IF(COUNT($F74:$K74)=0,"",ROUND(AVERAGE($F74:$K74),0))</f>
      </c>
      <c r="M74" s="4"/>
    </row>
    <row r="75">
      <c r="A75" s="2">
        <f>PLAN_180!$B75</f>
      </c>
      <c r="B75">
        <f>PLAN_180!$A75</f>
      </c>
      <c r="C75">
        <f>PLAN_180!$D75</f>
      </c>
      <c r="D75">
        <f>PLAN_180!$H75</f>
      </c>
      <c r="E75" s="4"/>
      <c r="F75" s="4"/>
      <c r="G75" s="4"/>
      <c r="H75" s="4"/>
      <c r="I75" s="4"/>
      <c r="J75" s="4"/>
      <c r="K75" s="4"/>
      <c r="L75">
        <f>IF(COUNT($F75:$K75)=0,"",ROUND(AVERAGE($F75:$K75),0))</f>
      </c>
      <c r="M75" s="4"/>
    </row>
    <row r="76">
      <c r="A76" s="2">
        <f>PLAN_180!$B76</f>
      </c>
      <c r="B76">
        <f>PLAN_180!$A76</f>
      </c>
      <c r="C76">
        <f>PLAN_180!$D76</f>
      </c>
      <c r="D76">
        <f>PLAN_180!$H76</f>
      </c>
      <c r="E76" s="4"/>
      <c r="F76" s="4"/>
      <c r="G76" s="4"/>
      <c r="H76" s="4"/>
      <c r="I76" s="4"/>
      <c r="J76" s="4"/>
      <c r="K76" s="4"/>
      <c r="L76">
        <f>IF(COUNT($F76:$K76)=0,"",ROUND(AVERAGE($F76:$K76),0))</f>
      </c>
      <c r="M76" s="4"/>
    </row>
    <row r="77">
      <c r="A77" s="2">
        <f>PLAN_180!$B77</f>
      </c>
      <c r="B77">
        <f>PLAN_180!$A77</f>
      </c>
      <c r="C77">
        <f>PLAN_180!$D77</f>
      </c>
      <c r="D77">
        <f>PLAN_180!$H77</f>
      </c>
      <c r="E77" s="4"/>
      <c r="F77" s="4"/>
      <c r="G77" s="4"/>
      <c r="H77" s="4"/>
      <c r="I77" s="4"/>
      <c r="J77" s="4"/>
      <c r="K77" s="4"/>
      <c r="L77">
        <f>IF(COUNT($F77:$K77)=0,"",ROUND(AVERAGE($F77:$K77),0))</f>
      </c>
      <c r="M77" s="4"/>
    </row>
    <row r="78">
      <c r="A78" s="2">
        <f>PLAN_180!$B78</f>
      </c>
      <c r="B78">
        <f>PLAN_180!$A78</f>
      </c>
      <c r="C78">
        <f>PLAN_180!$D78</f>
      </c>
      <c r="D78">
        <f>PLAN_180!$H78</f>
      </c>
      <c r="E78" s="4"/>
      <c r="F78" s="4"/>
      <c r="G78" s="4"/>
      <c r="H78" s="4"/>
      <c r="I78" s="4"/>
      <c r="J78" s="4"/>
      <c r="K78" s="4"/>
      <c r="L78">
        <f>IF(COUNT($F78:$K78)=0,"",ROUND(AVERAGE($F78:$K78),0))</f>
      </c>
      <c r="M78" s="4"/>
    </row>
    <row r="79">
      <c r="A79" s="2">
        <f>PLAN_180!$B79</f>
      </c>
      <c r="B79">
        <f>PLAN_180!$A79</f>
      </c>
      <c r="C79">
        <f>PLAN_180!$D79</f>
      </c>
      <c r="D79">
        <f>PLAN_180!$H79</f>
      </c>
      <c r="E79" s="4"/>
      <c r="F79" s="4"/>
      <c r="G79" s="4"/>
      <c r="H79" s="4"/>
      <c r="I79" s="4"/>
      <c r="J79" s="4"/>
      <c r="K79" s="4"/>
      <c r="L79">
        <f>IF(COUNT($F79:$K79)=0,"",ROUND(AVERAGE($F79:$K79),0))</f>
      </c>
      <c r="M79" s="4"/>
    </row>
    <row r="80">
      <c r="A80" s="2">
        <f>PLAN_180!$B80</f>
      </c>
      <c r="B80">
        <f>PLAN_180!$A80</f>
      </c>
      <c r="C80">
        <f>PLAN_180!$D80</f>
      </c>
      <c r="D80">
        <f>PLAN_180!$H80</f>
      </c>
      <c r="E80" s="4"/>
      <c r="F80" s="4"/>
      <c r="G80" s="4"/>
      <c r="H80" s="4"/>
      <c r="I80" s="4"/>
      <c r="J80" s="4"/>
      <c r="K80" s="4"/>
      <c r="L80">
        <f>IF(COUNT($F80:$K80)=0,"",ROUND(AVERAGE($F80:$K80),0))</f>
      </c>
      <c r="M80" s="4"/>
    </row>
    <row r="81">
      <c r="A81" s="2">
        <f>PLAN_180!$B81</f>
      </c>
      <c r="B81">
        <f>PLAN_180!$A81</f>
      </c>
      <c r="C81">
        <f>PLAN_180!$D81</f>
      </c>
      <c r="D81">
        <f>PLAN_180!$H81</f>
      </c>
      <c r="E81" s="4"/>
      <c r="F81" s="4"/>
      <c r="G81" s="4"/>
      <c r="H81" s="4"/>
      <c r="I81" s="4"/>
      <c r="J81" s="4"/>
      <c r="K81" s="4"/>
      <c r="L81">
        <f>IF(COUNT($F81:$K81)=0,"",ROUND(AVERAGE($F81:$K81),0))</f>
      </c>
      <c r="M81" s="4"/>
    </row>
    <row r="82">
      <c r="A82" s="2">
        <f>PLAN_180!$B82</f>
      </c>
      <c r="B82">
        <f>PLAN_180!$A82</f>
      </c>
      <c r="C82">
        <f>PLAN_180!$D82</f>
      </c>
      <c r="D82">
        <f>PLAN_180!$H82</f>
      </c>
      <c r="E82" s="4"/>
      <c r="F82" s="4"/>
      <c r="G82" s="4"/>
      <c r="H82" s="4"/>
      <c r="I82" s="4"/>
      <c r="J82" s="4"/>
      <c r="K82" s="4"/>
      <c r="L82">
        <f>IF(COUNT($F82:$K82)=0,"",ROUND(AVERAGE($F82:$K82),0))</f>
      </c>
      <c r="M82" s="4"/>
    </row>
    <row r="83">
      <c r="A83" s="2">
        <f>PLAN_180!$B83</f>
      </c>
      <c r="B83">
        <f>PLAN_180!$A83</f>
      </c>
      <c r="C83">
        <f>PLAN_180!$D83</f>
      </c>
      <c r="D83">
        <f>PLAN_180!$H83</f>
      </c>
      <c r="E83" s="4"/>
      <c r="F83" s="4"/>
      <c r="G83" s="4"/>
      <c r="H83" s="4"/>
      <c r="I83" s="4"/>
      <c r="J83" s="4"/>
      <c r="K83" s="4"/>
      <c r="L83">
        <f>IF(COUNT($F83:$K83)=0,"",ROUND(AVERAGE($F83:$K83),0))</f>
      </c>
      <c r="M83" s="4"/>
    </row>
    <row r="84">
      <c r="A84" s="2">
        <f>PLAN_180!$B84</f>
      </c>
      <c r="B84">
        <f>PLAN_180!$A84</f>
      </c>
      <c r="C84">
        <f>PLAN_180!$D84</f>
      </c>
      <c r="D84">
        <f>PLAN_180!$H84</f>
      </c>
      <c r="E84" s="4"/>
      <c r="F84" s="4"/>
      <c r="G84" s="4"/>
      <c r="H84" s="4"/>
      <c r="I84" s="4"/>
      <c r="J84" s="4"/>
      <c r="K84" s="4"/>
      <c r="L84">
        <f>IF(COUNT($F84:$K84)=0,"",ROUND(AVERAGE($F84:$K84),0))</f>
      </c>
      <c r="M84" s="4"/>
    </row>
    <row r="85">
      <c r="A85" s="2">
        <f>PLAN_180!$B85</f>
      </c>
      <c r="B85">
        <f>PLAN_180!$A85</f>
      </c>
      <c r="C85">
        <f>PLAN_180!$D85</f>
      </c>
      <c r="D85">
        <f>PLAN_180!$H85</f>
      </c>
      <c r="E85" s="4"/>
      <c r="F85" s="4"/>
      <c r="G85" s="4"/>
      <c r="H85" s="4"/>
      <c r="I85" s="4"/>
      <c r="J85" s="4"/>
      <c r="K85" s="4"/>
      <c r="L85">
        <f>IF(COUNT($F85:$K85)=0,"",ROUND(AVERAGE($F85:$K85),0))</f>
      </c>
      <c r="M85" s="4"/>
    </row>
    <row r="86">
      <c r="A86" s="2">
        <f>PLAN_180!$B86</f>
      </c>
      <c r="B86">
        <f>PLAN_180!$A86</f>
      </c>
      <c r="C86">
        <f>PLAN_180!$D86</f>
      </c>
      <c r="D86">
        <f>PLAN_180!$H86</f>
      </c>
      <c r="E86" s="4"/>
      <c r="F86" s="4"/>
      <c r="G86" s="4"/>
      <c r="H86" s="4"/>
      <c r="I86" s="4"/>
      <c r="J86" s="4"/>
      <c r="K86" s="4"/>
      <c r="L86">
        <f>IF(COUNT($F86:$K86)=0,"",ROUND(AVERAGE($F86:$K86),0))</f>
      </c>
      <c r="M86" s="4"/>
    </row>
    <row r="87">
      <c r="A87" s="2">
        <f>PLAN_180!$B87</f>
      </c>
      <c r="B87">
        <f>PLAN_180!$A87</f>
      </c>
      <c r="C87">
        <f>PLAN_180!$D87</f>
      </c>
      <c r="D87">
        <f>PLAN_180!$H87</f>
      </c>
      <c r="E87" s="4"/>
      <c r="F87" s="4"/>
      <c r="G87" s="4"/>
      <c r="H87" s="4"/>
      <c r="I87" s="4"/>
      <c r="J87" s="4"/>
      <c r="K87" s="4"/>
      <c r="L87">
        <f>IF(COUNT($F87:$K87)=0,"",ROUND(AVERAGE($F87:$K87),0))</f>
      </c>
      <c r="M87" s="4"/>
    </row>
    <row r="88">
      <c r="A88" s="2">
        <f>PLAN_180!$B88</f>
      </c>
      <c r="B88">
        <f>PLAN_180!$A88</f>
      </c>
      <c r="C88">
        <f>PLAN_180!$D88</f>
      </c>
      <c r="D88">
        <f>PLAN_180!$H88</f>
      </c>
      <c r="E88" s="4"/>
      <c r="F88" s="4"/>
      <c r="G88" s="4"/>
      <c r="H88" s="4"/>
      <c r="I88" s="4"/>
      <c r="J88" s="4"/>
      <c r="K88" s="4"/>
      <c r="L88">
        <f>IF(COUNT($F88:$K88)=0,"",ROUND(AVERAGE($F88:$K88),0))</f>
      </c>
      <c r="M88" s="4"/>
    </row>
    <row r="89">
      <c r="A89" s="2">
        <f>PLAN_180!$B89</f>
      </c>
      <c r="B89">
        <f>PLAN_180!$A89</f>
      </c>
      <c r="C89">
        <f>PLAN_180!$D89</f>
      </c>
      <c r="D89">
        <f>PLAN_180!$H89</f>
      </c>
      <c r="E89" s="4"/>
      <c r="F89" s="4"/>
      <c r="G89" s="4"/>
      <c r="H89" s="4"/>
      <c r="I89" s="4"/>
      <c r="J89" s="4"/>
      <c r="K89" s="4"/>
      <c r="L89">
        <f>IF(COUNT($F89:$K89)=0,"",ROUND(AVERAGE($F89:$K89),0))</f>
      </c>
      <c r="M89" s="4"/>
    </row>
    <row r="90">
      <c r="A90" s="2">
        <f>PLAN_180!$B90</f>
      </c>
      <c r="B90">
        <f>PLAN_180!$A90</f>
      </c>
      <c r="C90">
        <f>PLAN_180!$D90</f>
      </c>
      <c r="D90">
        <f>PLAN_180!$H90</f>
      </c>
      <c r="E90" s="4"/>
      <c r="F90" s="4"/>
      <c r="G90" s="4"/>
      <c r="H90" s="4"/>
      <c r="I90" s="4"/>
      <c r="J90" s="4"/>
      <c r="K90" s="4"/>
      <c r="L90">
        <f>IF(COUNT($F90:$K90)=0,"",ROUND(AVERAGE($F90:$K90),0))</f>
      </c>
      <c r="M90" s="4"/>
    </row>
    <row r="91">
      <c r="A91" s="2">
        <f>PLAN_180!$B91</f>
      </c>
      <c r="B91">
        <f>PLAN_180!$A91</f>
      </c>
      <c r="C91">
        <f>PLAN_180!$D91</f>
      </c>
      <c r="D91">
        <f>PLAN_180!$H91</f>
      </c>
      <c r="E91" s="4"/>
      <c r="F91" s="4"/>
      <c r="G91" s="4"/>
      <c r="H91" s="4"/>
      <c r="I91" s="4"/>
      <c r="J91" s="4"/>
      <c r="K91" s="4"/>
      <c r="L91">
        <f>IF(COUNT($F91:$K91)=0,"",ROUND(AVERAGE($F91:$K91),0))</f>
      </c>
      <c r="M91" s="4"/>
    </row>
    <row r="92">
      <c r="A92" s="2">
        <f>PLAN_180!$B92</f>
      </c>
      <c r="B92">
        <f>PLAN_180!$A92</f>
      </c>
      <c r="C92">
        <f>PLAN_180!$D92</f>
      </c>
      <c r="D92">
        <f>PLAN_180!$H92</f>
      </c>
      <c r="E92" s="4"/>
      <c r="F92" s="4"/>
      <c r="G92" s="4"/>
      <c r="H92" s="4"/>
      <c r="I92" s="4"/>
      <c r="J92" s="4"/>
      <c r="K92" s="4"/>
      <c r="L92">
        <f>IF(COUNT($F92:$K92)=0,"",ROUND(AVERAGE($F92:$K92),0))</f>
      </c>
      <c r="M92" s="4"/>
    </row>
    <row r="93">
      <c r="A93" s="2">
        <f>PLAN_180!$B93</f>
      </c>
      <c r="B93">
        <f>PLAN_180!$A93</f>
      </c>
      <c r="C93">
        <f>PLAN_180!$D93</f>
      </c>
      <c r="D93">
        <f>PLAN_180!$H93</f>
      </c>
      <c r="E93" s="4"/>
      <c r="F93" s="4"/>
      <c r="G93" s="4"/>
      <c r="H93" s="4"/>
      <c r="I93" s="4"/>
      <c r="J93" s="4"/>
      <c r="K93" s="4"/>
      <c r="L93">
        <f>IF(COUNT($F93:$K93)=0,"",ROUND(AVERAGE($F93:$K93),0))</f>
      </c>
      <c r="M93" s="4"/>
    </row>
    <row r="94">
      <c r="A94" s="2">
        <f>PLAN_180!$B94</f>
      </c>
      <c r="B94">
        <f>PLAN_180!$A94</f>
      </c>
      <c r="C94">
        <f>PLAN_180!$D94</f>
      </c>
      <c r="D94">
        <f>PLAN_180!$H94</f>
      </c>
      <c r="E94" s="4"/>
      <c r="F94" s="4"/>
      <c r="G94" s="4"/>
      <c r="H94" s="4"/>
      <c r="I94" s="4"/>
      <c r="J94" s="4"/>
      <c r="K94" s="4"/>
      <c r="L94">
        <f>IF(COUNT($F94:$K94)=0,"",ROUND(AVERAGE($F94:$K94),0))</f>
      </c>
      <c r="M94" s="4"/>
    </row>
    <row r="95">
      <c r="A95" s="2">
        <f>PLAN_180!$B95</f>
      </c>
      <c r="B95">
        <f>PLAN_180!$A95</f>
      </c>
      <c r="C95">
        <f>PLAN_180!$D95</f>
      </c>
      <c r="D95">
        <f>PLAN_180!$H95</f>
      </c>
      <c r="E95" s="4"/>
      <c r="F95" s="4"/>
      <c r="G95" s="4"/>
      <c r="H95" s="4"/>
      <c r="I95" s="4"/>
      <c r="J95" s="4"/>
      <c r="K95" s="4"/>
      <c r="L95">
        <f>IF(COUNT($F95:$K95)=0,"",ROUND(AVERAGE($F95:$K95),0))</f>
      </c>
      <c r="M95" s="4"/>
    </row>
    <row r="96">
      <c r="A96" s="2">
        <f>PLAN_180!$B96</f>
      </c>
      <c r="B96">
        <f>PLAN_180!$A96</f>
      </c>
      <c r="C96">
        <f>PLAN_180!$D96</f>
      </c>
      <c r="D96">
        <f>PLAN_180!$H96</f>
      </c>
      <c r="E96" s="4"/>
      <c r="F96" s="4"/>
      <c r="G96" s="4"/>
      <c r="H96" s="4"/>
      <c r="I96" s="4"/>
      <c r="J96" s="4"/>
      <c r="K96" s="4"/>
      <c r="L96">
        <f>IF(COUNT($F96:$K96)=0,"",ROUND(AVERAGE($F96:$K96),0))</f>
      </c>
      <c r="M96" s="4"/>
    </row>
    <row r="97">
      <c r="A97" s="2">
        <f>PLAN_180!$B97</f>
      </c>
      <c r="B97">
        <f>PLAN_180!$A97</f>
      </c>
      <c r="C97">
        <f>PLAN_180!$D97</f>
      </c>
      <c r="D97">
        <f>PLAN_180!$H97</f>
      </c>
      <c r="E97" s="4"/>
      <c r="F97" s="4"/>
      <c r="G97" s="4"/>
      <c r="H97" s="4"/>
      <c r="I97" s="4"/>
      <c r="J97" s="4"/>
      <c r="K97" s="4"/>
      <c r="L97">
        <f>IF(COUNT($F97:$K97)=0,"",ROUND(AVERAGE($F97:$K97),0))</f>
      </c>
      <c r="M97" s="4"/>
    </row>
    <row r="98">
      <c r="A98" s="2">
        <f>PLAN_180!$B98</f>
      </c>
      <c r="B98">
        <f>PLAN_180!$A98</f>
      </c>
      <c r="C98">
        <f>PLAN_180!$D98</f>
      </c>
      <c r="D98">
        <f>PLAN_180!$H98</f>
      </c>
      <c r="E98" s="4"/>
      <c r="F98" s="4"/>
      <c r="G98" s="4"/>
      <c r="H98" s="4"/>
      <c r="I98" s="4"/>
      <c r="J98" s="4"/>
      <c r="K98" s="4"/>
      <c r="L98">
        <f>IF(COUNT($F98:$K98)=0,"",ROUND(AVERAGE($F98:$K98),0))</f>
      </c>
      <c r="M98" s="4"/>
    </row>
    <row r="99">
      <c r="A99" s="2">
        <f>PLAN_180!$B99</f>
      </c>
      <c r="B99">
        <f>PLAN_180!$A99</f>
      </c>
      <c r="C99">
        <f>PLAN_180!$D99</f>
      </c>
      <c r="D99">
        <f>PLAN_180!$H99</f>
      </c>
      <c r="E99" s="4"/>
      <c r="F99" s="4"/>
      <c r="G99" s="4"/>
      <c r="H99" s="4"/>
      <c r="I99" s="4"/>
      <c r="J99" s="4"/>
      <c r="K99" s="4"/>
      <c r="L99">
        <f>IF(COUNT($F99:$K99)=0,"",ROUND(AVERAGE($F99:$K99),0))</f>
      </c>
      <c r="M99" s="4"/>
    </row>
    <row r="100">
      <c r="A100" s="2">
        <f>PLAN_180!$B100</f>
      </c>
      <c r="B100">
        <f>PLAN_180!$A100</f>
      </c>
      <c r="C100">
        <f>PLAN_180!$D100</f>
      </c>
      <c r="D100">
        <f>PLAN_180!$H100</f>
      </c>
      <c r="E100" s="4"/>
      <c r="F100" s="4"/>
      <c r="G100" s="4"/>
      <c r="H100" s="4"/>
      <c r="I100" s="4"/>
      <c r="J100" s="4"/>
      <c r="K100" s="4"/>
      <c r="L100">
        <f>IF(COUNT($F100:$K100)=0,"",ROUND(AVERAGE($F100:$K100),0))</f>
      </c>
      <c r="M100" s="4"/>
    </row>
    <row r="101">
      <c r="A101" s="2">
        <f>PLAN_180!$B101</f>
      </c>
      <c r="B101">
        <f>PLAN_180!$A101</f>
      </c>
      <c r="C101">
        <f>PLAN_180!$D101</f>
      </c>
      <c r="D101">
        <f>PLAN_180!$H101</f>
      </c>
      <c r="E101" s="4"/>
      <c r="F101" s="4"/>
      <c r="G101" s="4"/>
      <c r="H101" s="4"/>
      <c r="I101" s="4"/>
      <c r="J101" s="4"/>
      <c r="K101" s="4"/>
      <c r="L101">
        <f>IF(COUNT($F101:$K101)=0,"",ROUND(AVERAGE($F101:$K101),0))</f>
      </c>
      <c r="M101" s="4"/>
    </row>
    <row r="102">
      <c r="A102" s="2">
        <f>PLAN_180!$B102</f>
      </c>
      <c r="B102">
        <f>PLAN_180!$A102</f>
      </c>
      <c r="C102">
        <f>PLAN_180!$D102</f>
      </c>
      <c r="D102">
        <f>PLAN_180!$H102</f>
      </c>
      <c r="E102" s="4"/>
      <c r="F102" s="4"/>
      <c r="G102" s="4"/>
      <c r="H102" s="4"/>
      <c r="I102" s="4"/>
      <c r="J102" s="4"/>
      <c r="K102" s="4"/>
      <c r="L102">
        <f>IF(COUNT($F102:$K102)=0,"",ROUND(AVERAGE($F102:$K102),0))</f>
      </c>
      <c r="M102" s="4"/>
    </row>
    <row r="103">
      <c r="A103" s="2">
        <f>PLAN_180!$B103</f>
      </c>
      <c r="B103">
        <f>PLAN_180!$A103</f>
      </c>
      <c r="C103">
        <f>PLAN_180!$D103</f>
      </c>
      <c r="D103">
        <f>PLAN_180!$H103</f>
      </c>
      <c r="E103" s="4"/>
      <c r="F103" s="4"/>
      <c r="G103" s="4"/>
      <c r="H103" s="4"/>
      <c r="I103" s="4"/>
      <c r="J103" s="4"/>
      <c r="K103" s="4"/>
      <c r="L103">
        <f>IF(COUNT($F103:$K103)=0,"",ROUND(AVERAGE($F103:$K103),0))</f>
      </c>
      <c r="M103" s="4"/>
    </row>
    <row r="104">
      <c r="A104" s="2">
        <f>PLAN_180!$B104</f>
      </c>
      <c r="B104">
        <f>PLAN_180!$A104</f>
      </c>
      <c r="C104">
        <f>PLAN_180!$D104</f>
      </c>
      <c r="D104">
        <f>PLAN_180!$H104</f>
      </c>
      <c r="E104" s="4"/>
      <c r="F104" s="4"/>
      <c r="G104" s="4"/>
      <c r="H104" s="4"/>
      <c r="I104" s="4"/>
      <c r="J104" s="4"/>
      <c r="K104" s="4"/>
      <c r="L104">
        <f>IF(COUNT($F104:$K104)=0,"",ROUND(AVERAGE($F104:$K104),0))</f>
      </c>
      <c r="M104" s="4"/>
    </row>
    <row r="105">
      <c r="A105" s="2">
        <f>PLAN_180!$B105</f>
      </c>
      <c r="B105">
        <f>PLAN_180!$A105</f>
      </c>
      <c r="C105">
        <f>PLAN_180!$D105</f>
      </c>
      <c r="D105">
        <f>PLAN_180!$H105</f>
      </c>
      <c r="E105" s="4"/>
      <c r="F105" s="4"/>
      <c r="G105" s="4"/>
      <c r="H105" s="4"/>
      <c r="I105" s="4"/>
      <c r="J105" s="4"/>
      <c r="K105" s="4"/>
      <c r="L105">
        <f>IF(COUNT($F105:$K105)=0,"",ROUND(AVERAGE($F105:$K105),0))</f>
      </c>
      <c r="M105" s="4"/>
    </row>
    <row r="106">
      <c r="A106" s="2">
        <f>PLAN_180!$B106</f>
      </c>
      <c r="B106">
        <f>PLAN_180!$A106</f>
      </c>
      <c r="C106">
        <f>PLAN_180!$D106</f>
      </c>
      <c r="D106">
        <f>PLAN_180!$H106</f>
      </c>
      <c r="E106" s="4"/>
      <c r="F106" s="4"/>
      <c r="G106" s="4"/>
      <c r="H106" s="4"/>
      <c r="I106" s="4"/>
      <c r="J106" s="4"/>
      <c r="K106" s="4"/>
      <c r="L106">
        <f>IF(COUNT($F106:$K106)=0,"",ROUND(AVERAGE($F106:$K106),0))</f>
      </c>
      <c r="M106" s="4"/>
    </row>
    <row r="107">
      <c r="A107" s="2">
        <f>PLAN_180!$B107</f>
      </c>
      <c r="B107">
        <f>PLAN_180!$A107</f>
      </c>
      <c r="C107">
        <f>PLAN_180!$D107</f>
      </c>
      <c r="D107">
        <f>PLAN_180!$H107</f>
      </c>
      <c r="E107" s="4"/>
      <c r="F107" s="4"/>
      <c r="G107" s="4"/>
      <c r="H107" s="4"/>
      <c r="I107" s="4"/>
      <c r="J107" s="4"/>
      <c r="K107" s="4"/>
      <c r="L107">
        <f>IF(COUNT($F107:$K107)=0,"",ROUND(AVERAGE($F107:$K107),0))</f>
      </c>
      <c r="M107" s="4"/>
    </row>
    <row r="108">
      <c r="A108" s="2">
        <f>PLAN_180!$B108</f>
      </c>
      <c r="B108">
        <f>PLAN_180!$A108</f>
      </c>
      <c r="C108">
        <f>PLAN_180!$D108</f>
      </c>
      <c r="D108">
        <f>PLAN_180!$H108</f>
      </c>
      <c r="E108" s="4"/>
      <c r="F108" s="4"/>
      <c r="G108" s="4"/>
      <c r="H108" s="4"/>
      <c r="I108" s="4"/>
      <c r="J108" s="4"/>
      <c r="K108" s="4"/>
      <c r="L108">
        <f>IF(COUNT($F108:$K108)=0,"",ROUND(AVERAGE($F108:$K108),0))</f>
      </c>
      <c r="M108" s="4"/>
    </row>
    <row r="109">
      <c r="A109" s="2">
        <f>PLAN_180!$B109</f>
      </c>
      <c r="B109">
        <f>PLAN_180!$A109</f>
      </c>
      <c r="C109">
        <f>PLAN_180!$D109</f>
      </c>
      <c r="D109">
        <f>PLAN_180!$H109</f>
      </c>
      <c r="E109" s="4"/>
      <c r="F109" s="4"/>
      <c r="G109" s="4"/>
      <c r="H109" s="4"/>
      <c r="I109" s="4"/>
      <c r="J109" s="4"/>
      <c r="K109" s="4"/>
      <c r="L109">
        <f>IF(COUNT($F109:$K109)=0,"",ROUND(AVERAGE($F109:$K109),0))</f>
      </c>
      <c r="M109" s="4"/>
    </row>
    <row r="110">
      <c r="A110" s="2">
        <f>PLAN_180!$B110</f>
      </c>
      <c r="B110">
        <f>PLAN_180!$A110</f>
      </c>
      <c r="C110">
        <f>PLAN_180!$D110</f>
      </c>
      <c r="D110">
        <f>PLAN_180!$H110</f>
      </c>
      <c r="E110" s="4"/>
      <c r="F110" s="4"/>
      <c r="G110" s="4"/>
      <c r="H110" s="4"/>
      <c r="I110" s="4"/>
      <c r="J110" s="4"/>
      <c r="K110" s="4"/>
      <c r="L110">
        <f>IF(COUNT($F110:$K110)=0,"",ROUND(AVERAGE($F110:$K110),0))</f>
      </c>
      <c r="M110" s="4"/>
    </row>
    <row r="111">
      <c r="A111" s="2">
        <f>PLAN_180!$B111</f>
      </c>
      <c r="B111">
        <f>PLAN_180!$A111</f>
      </c>
      <c r="C111">
        <f>PLAN_180!$D111</f>
      </c>
      <c r="D111">
        <f>PLAN_180!$H111</f>
      </c>
      <c r="E111" s="4"/>
      <c r="F111" s="4"/>
      <c r="G111" s="4"/>
      <c r="H111" s="4"/>
      <c r="I111" s="4"/>
      <c r="J111" s="4"/>
      <c r="K111" s="4"/>
      <c r="L111">
        <f>IF(COUNT($F111:$K111)=0,"",ROUND(AVERAGE($F111:$K111),0))</f>
      </c>
      <c r="M111" s="4"/>
    </row>
    <row r="112">
      <c r="A112" s="2">
        <f>PLAN_180!$B112</f>
      </c>
      <c r="B112">
        <f>PLAN_180!$A112</f>
      </c>
      <c r="C112">
        <f>PLAN_180!$D112</f>
      </c>
      <c r="D112">
        <f>PLAN_180!$H112</f>
      </c>
      <c r="E112" s="4"/>
      <c r="F112" s="4"/>
      <c r="G112" s="4"/>
      <c r="H112" s="4"/>
      <c r="I112" s="4"/>
      <c r="J112" s="4"/>
      <c r="K112" s="4"/>
      <c r="L112">
        <f>IF(COUNT($F112:$K112)=0,"",ROUND(AVERAGE($F112:$K112),0))</f>
      </c>
      <c r="M112" s="4"/>
    </row>
    <row r="113">
      <c r="A113" s="2">
        <f>PLAN_180!$B113</f>
      </c>
      <c r="B113">
        <f>PLAN_180!$A113</f>
      </c>
      <c r="C113">
        <f>PLAN_180!$D113</f>
      </c>
      <c r="D113">
        <f>PLAN_180!$H113</f>
      </c>
      <c r="E113" s="4"/>
      <c r="F113" s="4"/>
      <c r="G113" s="4"/>
      <c r="H113" s="4"/>
      <c r="I113" s="4"/>
      <c r="J113" s="4"/>
      <c r="K113" s="4"/>
      <c r="L113">
        <f>IF(COUNT($F113:$K113)=0,"",ROUND(AVERAGE($F113:$K113),0))</f>
      </c>
      <c r="M113" s="4"/>
    </row>
    <row r="114">
      <c r="A114" s="2">
        <f>PLAN_180!$B114</f>
      </c>
      <c r="B114">
        <f>PLAN_180!$A114</f>
      </c>
      <c r="C114">
        <f>PLAN_180!$D114</f>
      </c>
      <c r="D114">
        <f>PLAN_180!$H114</f>
      </c>
      <c r="E114" s="4"/>
      <c r="F114" s="4"/>
      <c r="G114" s="4"/>
      <c r="H114" s="4"/>
      <c r="I114" s="4"/>
      <c r="J114" s="4"/>
      <c r="K114" s="4"/>
      <c r="L114">
        <f>IF(COUNT($F114:$K114)=0,"",ROUND(AVERAGE($F114:$K114),0))</f>
      </c>
      <c r="M114" s="4"/>
    </row>
    <row r="115">
      <c r="A115" s="2">
        <f>PLAN_180!$B115</f>
      </c>
      <c r="B115">
        <f>PLAN_180!$A115</f>
      </c>
      <c r="C115">
        <f>PLAN_180!$D115</f>
      </c>
      <c r="D115">
        <f>PLAN_180!$H115</f>
      </c>
      <c r="E115" s="4"/>
      <c r="F115" s="4"/>
      <c r="G115" s="4"/>
      <c r="H115" s="4"/>
      <c r="I115" s="4"/>
      <c r="J115" s="4"/>
      <c r="K115" s="4"/>
      <c r="L115">
        <f>IF(COUNT($F115:$K115)=0,"",ROUND(AVERAGE($F115:$K115),0))</f>
      </c>
      <c r="M115" s="4"/>
    </row>
    <row r="116">
      <c r="A116" s="2">
        <f>PLAN_180!$B116</f>
      </c>
      <c r="B116">
        <f>PLAN_180!$A116</f>
      </c>
      <c r="C116">
        <f>PLAN_180!$D116</f>
      </c>
      <c r="D116">
        <f>PLAN_180!$H116</f>
      </c>
      <c r="E116" s="4"/>
      <c r="F116" s="4"/>
      <c r="G116" s="4"/>
      <c r="H116" s="4"/>
      <c r="I116" s="4"/>
      <c r="J116" s="4"/>
      <c r="K116" s="4"/>
      <c r="L116">
        <f>IF(COUNT($F116:$K116)=0,"",ROUND(AVERAGE($F116:$K116),0))</f>
      </c>
      <c r="M116" s="4"/>
    </row>
    <row r="117">
      <c r="A117" s="2">
        <f>PLAN_180!$B117</f>
      </c>
      <c r="B117">
        <f>PLAN_180!$A117</f>
      </c>
      <c r="C117">
        <f>PLAN_180!$D117</f>
      </c>
      <c r="D117">
        <f>PLAN_180!$H117</f>
      </c>
      <c r="E117" s="4"/>
      <c r="F117" s="4"/>
      <c r="G117" s="4"/>
      <c r="H117" s="4"/>
      <c r="I117" s="4"/>
      <c r="J117" s="4"/>
      <c r="K117" s="4"/>
      <c r="L117">
        <f>IF(COUNT($F117:$K117)=0,"",ROUND(AVERAGE($F117:$K117),0))</f>
      </c>
      <c r="M117" s="4"/>
    </row>
    <row r="118">
      <c r="A118" s="2">
        <f>PLAN_180!$B118</f>
      </c>
      <c r="B118">
        <f>PLAN_180!$A118</f>
      </c>
      <c r="C118">
        <f>PLAN_180!$D118</f>
      </c>
      <c r="D118">
        <f>PLAN_180!$H118</f>
      </c>
      <c r="E118" s="4"/>
      <c r="F118" s="4"/>
      <c r="G118" s="4"/>
      <c r="H118" s="4"/>
      <c r="I118" s="4"/>
      <c r="J118" s="4"/>
      <c r="K118" s="4"/>
      <c r="L118">
        <f>IF(COUNT($F118:$K118)=0,"",ROUND(AVERAGE($F118:$K118),0))</f>
      </c>
      <c r="M118" s="4"/>
    </row>
    <row r="119">
      <c r="A119" s="2">
        <f>PLAN_180!$B119</f>
      </c>
      <c r="B119">
        <f>PLAN_180!$A119</f>
      </c>
      <c r="C119">
        <f>PLAN_180!$D119</f>
      </c>
      <c r="D119">
        <f>PLAN_180!$H119</f>
      </c>
      <c r="E119" s="4"/>
      <c r="F119" s="4"/>
      <c r="G119" s="4"/>
      <c r="H119" s="4"/>
      <c r="I119" s="4"/>
      <c r="J119" s="4"/>
      <c r="K119" s="4"/>
      <c r="L119">
        <f>IF(COUNT($F119:$K119)=0,"",ROUND(AVERAGE($F119:$K119),0))</f>
      </c>
      <c r="M119" s="4"/>
    </row>
    <row r="120">
      <c r="A120" s="2">
        <f>PLAN_180!$B120</f>
      </c>
      <c r="B120">
        <f>PLAN_180!$A120</f>
      </c>
      <c r="C120">
        <f>PLAN_180!$D120</f>
      </c>
      <c r="D120">
        <f>PLAN_180!$H120</f>
      </c>
      <c r="E120" s="4"/>
      <c r="F120" s="4"/>
      <c r="G120" s="4"/>
      <c r="H120" s="4"/>
      <c r="I120" s="4"/>
      <c r="J120" s="4"/>
      <c r="K120" s="4"/>
      <c r="L120">
        <f>IF(COUNT($F120:$K120)=0,"",ROUND(AVERAGE($F120:$K120),0))</f>
      </c>
      <c r="M120" s="4"/>
    </row>
    <row r="121">
      <c r="A121" s="2">
        <f>PLAN_180!$B121</f>
      </c>
      <c r="B121">
        <f>PLAN_180!$A121</f>
      </c>
      <c r="C121">
        <f>PLAN_180!$D121</f>
      </c>
      <c r="D121">
        <f>PLAN_180!$H121</f>
      </c>
      <c r="E121" s="4"/>
      <c r="F121" s="4"/>
      <c r="G121" s="4"/>
      <c r="H121" s="4"/>
      <c r="I121" s="4"/>
      <c r="J121" s="4"/>
      <c r="K121" s="4"/>
      <c r="L121">
        <f>IF(COUNT($F121:$K121)=0,"",ROUND(AVERAGE($F121:$K121),0))</f>
      </c>
      <c r="M121" s="4"/>
    </row>
    <row r="122">
      <c r="A122" s="2">
        <f>PLAN_180!$B122</f>
      </c>
      <c r="B122">
        <f>PLAN_180!$A122</f>
      </c>
      <c r="C122">
        <f>PLAN_180!$D122</f>
      </c>
      <c r="D122">
        <f>PLAN_180!$H122</f>
      </c>
      <c r="E122" s="4"/>
      <c r="F122" s="4"/>
      <c r="G122" s="4"/>
      <c r="H122" s="4"/>
      <c r="I122" s="4"/>
      <c r="J122" s="4"/>
      <c r="K122" s="4"/>
      <c r="L122">
        <f>IF(COUNT($F122:$K122)=0,"",ROUND(AVERAGE($F122:$K122),0))</f>
      </c>
      <c r="M122" s="4"/>
    </row>
    <row r="123">
      <c r="A123" s="2">
        <f>PLAN_180!$B123</f>
      </c>
      <c r="B123">
        <f>PLAN_180!$A123</f>
      </c>
      <c r="C123">
        <f>PLAN_180!$D123</f>
      </c>
      <c r="D123">
        <f>PLAN_180!$H123</f>
      </c>
      <c r="E123" s="4"/>
      <c r="F123" s="4"/>
      <c r="G123" s="4"/>
      <c r="H123" s="4"/>
      <c r="I123" s="4"/>
      <c r="J123" s="4"/>
      <c r="K123" s="4"/>
      <c r="L123">
        <f>IF(COUNT($F123:$K123)=0,"",ROUND(AVERAGE($F123:$K123),0))</f>
      </c>
      <c r="M123" s="4"/>
    </row>
    <row r="124">
      <c r="A124" s="2">
        <f>PLAN_180!$B124</f>
      </c>
      <c r="B124">
        <f>PLAN_180!$A124</f>
      </c>
      <c r="C124">
        <f>PLAN_180!$D124</f>
      </c>
      <c r="D124">
        <f>PLAN_180!$H124</f>
      </c>
      <c r="E124" s="4"/>
      <c r="F124" s="4"/>
      <c r="G124" s="4"/>
      <c r="H124" s="4"/>
      <c r="I124" s="4"/>
      <c r="J124" s="4"/>
      <c r="K124" s="4"/>
      <c r="L124">
        <f>IF(COUNT($F124:$K124)=0,"",ROUND(AVERAGE($F124:$K124),0))</f>
      </c>
      <c r="M124" s="4"/>
    </row>
    <row r="125">
      <c r="A125" s="2">
        <f>PLAN_180!$B125</f>
      </c>
      <c r="B125">
        <f>PLAN_180!$A125</f>
      </c>
      <c r="C125">
        <f>PLAN_180!$D125</f>
      </c>
      <c r="D125">
        <f>PLAN_180!$H125</f>
      </c>
      <c r="E125" s="4"/>
      <c r="F125" s="4"/>
      <c r="G125" s="4"/>
      <c r="H125" s="4"/>
      <c r="I125" s="4"/>
      <c r="J125" s="4"/>
      <c r="K125" s="4"/>
      <c r="L125">
        <f>IF(COUNT($F125:$K125)=0,"",ROUND(AVERAGE($F125:$K125),0))</f>
      </c>
      <c r="M125" s="4"/>
    </row>
    <row r="126">
      <c r="A126" s="2">
        <f>PLAN_180!$B126</f>
      </c>
      <c r="B126">
        <f>PLAN_180!$A126</f>
      </c>
      <c r="C126">
        <f>PLAN_180!$D126</f>
      </c>
      <c r="D126">
        <f>PLAN_180!$H126</f>
      </c>
      <c r="E126" s="4"/>
      <c r="F126" s="4"/>
      <c r="G126" s="4"/>
      <c r="H126" s="4"/>
      <c r="I126" s="4"/>
      <c r="J126" s="4"/>
      <c r="K126" s="4"/>
      <c r="L126">
        <f>IF(COUNT($F126:$K126)=0,"",ROUND(AVERAGE($F126:$K126),0))</f>
      </c>
      <c r="M126" s="4"/>
    </row>
    <row r="127">
      <c r="A127" s="2">
        <f>PLAN_180!$B127</f>
      </c>
      <c r="B127">
        <f>PLAN_180!$A127</f>
      </c>
      <c r="C127">
        <f>PLAN_180!$D127</f>
      </c>
      <c r="D127">
        <f>PLAN_180!$H127</f>
      </c>
      <c r="E127" s="4"/>
      <c r="F127" s="4"/>
      <c r="G127" s="4"/>
      <c r="H127" s="4"/>
      <c r="I127" s="4"/>
      <c r="J127" s="4"/>
      <c r="K127" s="4"/>
      <c r="L127">
        <f>IF(COUNT($F127:$K127)=0,"",ROUND(AVERAGE($F127:$K127),0))</f>
      </c>
      <c r="M127" s="4"/>
    </row>
    <row r="128">
      <c r="A128" s="2">
        <f>PLAN_180!$B128</f>
      </c>
      <c r="B128">
        <f>PLAN_180!$A128</f>
      </c>
      <c r="C128">
        <f>PLAN_180!$D128</f>
      </c>
      <c r="D128">
        <f>PLAN_180!$H128</f>
      </c>
      <c r="E128" s="4"/>
      <c r="F128" s="4"/>
      <c r="G128" s="4"/>
      <c r="H128" s="4"/>
      <c r="I128" s="4"/>
      <c r="J128" s="4"/>
      <c r="K128" s="4"/>
      <c r="L128">
        <f>IF(COUNT($F128:$K128)=0,"",ROUND(AVERAGE($F128:$K128),0))</f>
      </c>
      <c r="M128" s="4"/>
    </row>
    <row r="129">
      <c r="A129" s="2">
        <f>PLAN_180!$B129</f>
      </c>
      <c r="B129">
        <f>PLAN_180!$A129</f>
      </c>
      <c r="C129">
        <f>PLAN_180!$D129</f>
      </c>
      <c r="D129">
        <f>PLAN_180!$H129</f>
      </c>
      <c r="E129" s="4"/>
      <c r="F129" s="4"/>
      <c r="G129" s="4"/>
      <c r="H129" s="4"/>
      <c r="I129" s="4"/>
      <c r="J129" s="4"/>
      <c r="K129" s="4"/>
      <c r="L129">
        <f>IF(COUNT($F129:$K129)=0,"",ROUND(AVERAGE($F129:$K129),0))</f>
      </c>
      <c r="M129" s="4"/>
    </row>
    <row r="130">
      <c r="A130" s="2">
        <f>PLAN_180!$B130</f>
      </c>
      <c r="B130">
        <f>PLAN_180!$A130</f>
      </c>
      <c r="C130">
        <f>PLAN_180!$D130</f>
      </c>
      <c r="D130">
        <f>PLAN_180!$H130</f>
      </c>
      <c r="E130" s="4"/>
      <c r="F130" s="4"/>
      <c r="G130" s="4"/>
      <c r="H130" s="4"/>
      <c r="I130" s="4"/>
      <c r="J130" s="4"/>
      <c r="K130" s="4"/>
      <c r="L130">
        <f>IF(COUNT($F130:$K130)=0,"",ROUND(AVERAGE($F130:$K130),0))</f>
      </c>
      <c r="M130" s="4"/>
    </row>
    <row r="131">
      <c r="A131" s="2">
        <f>PLAN_180!$B131</f>
      </c>
      <c r="B131">
        <f>PLAN_180!$A131</f>
      </c>
      <c r="C131">
        <f>PLAN_180!$D131</f>
      </c>
      <c r="D131">
        <f>PLAN_180!$H131</f>
      </c>
      <c r="E131" s="4"/>
      <c r="F131" s="4"/>
      <c r="G131" s="4"/>
      <c r="H131" s="4"/>
      <c r="I131" s="4"/>
      <c r="J131" s="4"/>
      <c r="K131" s="4"/>
      <c r="L131">
        <f>IF(COUNT($F131:$K131)=0,"",ROUND(AVERAGE($F131:$K131),0))</f>
      </c>
      <c r="M131" s="4"/>
    </row>
    <row r="132">
      <c r="A132" s="2">
        <f>PLAN_180!$B132</f>
      </c>
      <c r="B132">
        <f>PLAN_180!$A132</f>
      </c>
      <c r="C132">
        <f>PLAN_180!$D132</f>
      </c>
      <c r="D132">
        <f>PLAN_180!$H132</f>
      </c>
      <c r="E132" s="4"/>
      <c r="F132" s="4"/>
      <c r="G132" s="4"/>
      <c r="H132" s="4"/>
      <c r="I132" s="4"/>
      <c r="J132" s="4"/>
      <c r="K132" s="4"/>
      <c r="L132">
        <f>IF(COUNT($F132:$K132)=0,"",ROUND(AVERAGE($F132:$K132),0))</f>
      </c>
      <c r="M132" s="4"/>
    </row>
    <row r="133">
      <c r="A133" s="2">
        <f>PLAN_180!$B133</f>
      </c>
      <c r="B133">
        <f>PLAN_180!$A133</f>
      </c>
      <c r="C133">
        <f>PLAN_180!$D133</f>
      </c>
      <c r="D133">
        <f>PLAN_180!$H133</f>
      </c>
      <c r="E133" s="4"/>
      <c r="F133" s="4"/>
      <c r="G133" s="4"/>
      <c r="H133" s="4"/>
      <c r="I133" s="4"/>
      <c r="J133" s="4"/>
      <c r="K133" s="4"/>
      <c r="L133">
        <f>IF(COUNT($F133:$K133)=0,"",ROUND(AVERAGE($F133:$K133),0))</f>
      </c>
      <c r="M133" s="4"/>
    </row>
    <row r="134">
      <c r="A134" s="2">
        <f>PLAN_180!$B134</f>
      </c>
      <c r="B134">
        <f>PLAN_180!$A134</f>
      </c>
      <c r="C134">
        <f>PLAN_180!$D134</f>
      </c>
      <c r="D134">
        <f>PLAN_180!$H134</f>
      </c>
      <c r="E134" s="4"/>
      <c r="F134" s="4"/>
      <c r="G134" s="4"/>
      <c r="H134" s="4"/>
      <c r="I134" s="4"/>
      <c r="J134" s="4"/>
      <c r="K134" s="4"/>
      <c r="L134">
        <f>IF(COUNT($F134:$K134)=0,"",ROUND(AVERAGE($F134:$K134),0))</f>
      </c>
      <c r="M134" s="4"/>
    </row>
    <row r="135">
      <c r="A135" s="2">
        <f>PLAN_180!$B135</f>
      </c>
      <c r="B135">
        <f>PLAN_180!$A135</f>
      </c>
      <c r="C135">
        <f>PLAN_180!$D135</f>
      </c>
      <c r="D135">
        <f>PLAN_180!$H135</f>
      </c>
      <c r="E135" s="4"/>
      <c r="F135" s="4"/>
      <c r="G135" s="4"/>
      <c r="H135" s="4"/>
      <c r="I135" s="4"/>
      <c r="J135" s="4"/>
      <c r="K135" s="4"/>
      <c r="L135">
        <f>IF(COUNT($F135:$K135)=0,"",ROUND(AVERAGE($F135:$K135),0))</f>
      </c>
      <c r="M135" s="4"/>
    </row>
    <row r="136">
      <c r="A136" s="2">
        <f>PLAN_180!$B136</f>
      </c>
      <c r="B136">
        <f>PLAN_180!$A136</f>
      </c>
      <c r="C136">
        <f>PLAN_180!$D136</f>
      </c>
      <c r="D136">
        <f>PLAN_180!$H136</f>
      </c>
      <c r="E136" s="4"/>
      <c r="F136" s="4"/>
      <c r="G136" s="4"/>
      <c r="H136" s="4"/>
      <c r="I136" s="4"/>
      <c r="J136" s="4"/>
      <c r="K136" s="4"/>
      <c r="L136">
        <f>IF(COUNT($F136:$K136)=0,"",ROUND(AVERAGE($F136:$K136),0))</f>
      </c>
      <c r="M136" s="4"/>
    </row>
    <row r="137">
      <c r="A137" s="2">
        <f>PLAN_180!$B137</f>
      </c>
      <c r="B137">
        <f>PLAN_180!$A137</f>
      </c>
      <c r="C137">
        <f>PLAN_180!$D137</f>
      </c>
      <c r="D137">
        <f>PLAN_180!$H137</f>
      </c>
      <c r="E137" s="4"/>
      <c r="F137" s="4"/>
      <c r="G137" s="4"/>
      <c r="H137" s="4"/>
      <c r="I137" s="4"/>
      <c r="J137" s="4"/>
      <c r="K137" s="4"/>
      <c r="L137">
        <f>IF(COUNT($F137:$K137)=0,"",ROUND(AVERAGE($F137:$K137),0))</f>
      </c>
      <c r="M137" s="4"/>
    </row>
    <row r="138">
      <c r="A138" s="2">
        <f>PLAN_180!$B138</f>
      </c>
      <c r="B138">
        <f>PLAN_180!$A138</f>
      </c>
      <c r="C138">
        <f>PLAN_180!$D138</f>
      </c>
      <c r="D138">
        <f>PLAN_180!$H138</f>
      </c>
      <c r="E138" s="4"/>
      <c r="F138" s="4"/>
      <c r="G138" s="4"/>
      <c r="H138" s="4"/>
      <c r="I138" s="4"/>
      <c r="J138" s="4"/>
      <c r="K138" s="4"/>
      <c r="L138">
        <f>IF(COUNT($F138:$K138)=0,"",ROUND(AVERAGE($F138:$K138),0))</f>
      </c>
      <c r="M138" s="4"/>
    </row>
    <row r="139">
      <c r="A139" s="2">
        <f>PLAN_180!$B139</f>
      </c>
      <c r="B139">
        <f>PLAN_180!$A139</f>
      </c>
      <c r="C139">
        <f>PLAN_180!$D139</f>
      </c>
      <c r="D139">
        <f>PLAN_180!$H139</f>
      </c>
      <c r="E139" s="4"/>
      <c r="F139" s="4"/>
      <c r="G139" s="4"/>
      <c r="H139" s="4"/>
      <c r="I139" s="4"/>
      <c r="J139" s="4"/>
      <c r="K139" s="4"/>
      <c r="L139">
        <f>IF(COUNT($F139:$K139)=0,"",ROUND(AVERAGE($F139:$K139),0))</f>
      </c>
      <c r="M139" s="4"/>
    </row>
    <row r="140">
      <c r="A140" s="2">
        <f>PLAN_180!$B140</f>
      </c>
      <c r="B140">
        <f>PLAN_180!$A140</f>
      </c>
      <c r="C140">
        <f>PLAN_180!$D140</f>
      </c>
      <c r="D140">
        <f>PLAN_180!$H140</f>
      </c>
      <c r="E140" s="4"/>
      <c r="F140" s="4"/>
      <c r="G140" s="4"/>
      <c r="H140" s="4"/>
      <c r="I140" s="4"/>
      <c r="J140" s="4"/>
      <c r="K140" s="4"/>
      <c r="L140">
        <f>IF(COUNT($F140:$K140)=0,"",ROUND(AVERAGE($F140:$K140),0))</f>
      </c>
      <c r="M140" s="4"/>
    </row>
    <row r="141">
      <c r="A141" s="2">
        <f>PLAN_180!$B141</f>
      </c>
      <c r="B141">
        <f>PLAN_180!$A141</f>
      </c>
      <c r="C141">
        <f>PLAN_180!$D141</f>
      </c>
      <c r="D141">
        <f>PLAN_180!$H141</f>
      </c>
      <c r="E141" s="4"/>
      <c r="F141" s="4"/>
      <c r="G141" s="4"/>
      <c r="H141" s="4"/>
      <c r="I141" s="4"/>
      <c r="J141" s="4"/>
      <c r="K141" s="4"/>
      <c r="L141">
        <f>IF(COUNT($F141:$K141)=0,"",ROUND(AVERAGE($F141:$K141),0))</f>
      </c>
      <c r="M141" s="4"/>
    </row>
    <row r="142">
      <c r="A142" s="2">
        <f>PLAN_180!$B142</f>
      </c>
      <c r="B142">
        <f>PLAN_180!$A142</f>
      </c>
      <c r="C142">
        <f>PLAN_180!$D142</f>
      </c>
      <c r="D142">
        <f>PLAN_180!$H142</f>
      </c>
      <c r="E142" s="4"/>
      <c r="F142" s="4"/>
      <c r="G142" s="4"/>
      <c r="H142" s="4"/>
      <c r="I142" s="4"/>
      <c r="J142" s="4"/>
      <c r="K142" s="4"/>
      <c r="L142">
        <f>IF(COUNT($F142:$K142)=0,"",ROUND(AVERAGE($F142:$K142),0))</f>
      </c>
      <c r="M142" s="4"/>
    </row>
    <row r="143">
      <c r="A143" s="2">
        <f>PLAN_180!$B143</f>
      </c>
      <c r="B143">
        <f>PLAN_180!$A143</f>
      </c>
      <c r="C143">
        <f>PLAN_180!$D143</f>
      </c>
      <c r="D143">
        <f>PLAN_180!$H143</f>
      </c>
      <c r="E143" s="4"/>
      <c r="F143" s="4"/>
      <c r="G143" s="4"/>
      <c r="H143" s="4"/>
      <c r="I143" s="4"/>
      <c r="J143" s="4"/>
      <c r="K143" s="4"/>
      <c r="L143">
        <f>IF(COUNT($F143:$K143)=0,"",ROUND(AVERAGE($F143:$K143),0))</f>
      </c>
      <c r="M143" s="4"/>
    </row>
    <row r="144">
      <c r="A144" s="2">
        <f>PLAN_180!$B144</f>
      </c>
      <c r="B144">
        <f>PLAN_180!$A144</f>
      </c>
      <c r="C144">
        <f>PLAN_180!$D144</f>
      </c>
      <c r="D144">
        <f>PLAN_180!$H144</f>
      </c>
      <c r="E144" s="4"/>
      <c r="F144" s="4"/>
      <c r="G144" s="4"/>
      <c r="H144" s="4"/>
      <c r="I144" s="4"/>
      <c r="J144" s="4"/>
      <c r="K144" s="4"/>
      <c r="L144">
        <f>IF(COUNT($F144:$K144)=0,"",ROUND(AVERAGE($F144:$K144),0))</f>
      </c>
      <c r="M144" s="4"/>
    </row>
    <row r="145">
      <c r="A145" s="2">
        <f>PLAN_180!$B145</f>
      </c>
      <c r="B145">
        <f>PLAN_180!$A145</f>
      </c>
      <c r="C145">
        <f>PLAN_180!$D145</f>
      </c>
      <c r="D145">
        <f>PLAN_180!$H145</f>
      </c>
      <c r="E145" s="4"/>
      <c r="F145" s="4"/>
      <c r="G145" s="4"/>
      <c r="H145" s="4"/>
      <c r="I145" s="4"/>
      <c r="J145" s="4"/>
      <c r="K145" s="4"/>
      <c r="L145">
        <f>IF(COUNT($F145:$K145)=0,"",ROUND(AVERAGE($F145:$K145),0))</f>
      </c>
      <c r="M145" s="4"/>
    </row>
    <row r="146">
      <c r="A146" s="2">
        <f>PLAN_180!$B146</f>
      </c>
      <c r="B146">
        <f>PLAN_180!$A146</f>
      </c>
      <c r="C146">
        <f>PLAN_180!$D146</f>
      </c>
      <c r="D146">
        <f>PLAN_180!$H146</f>
      </c>
      <c r="E146" s="4"/>
      <c r="F146" s="4"/>
      <c r="G146" s="4"/>
      <c r="H146" s="4"/>
      <c r="I146" s="4"/>
      <c r="J146" s="4"/>
      <c r="K146" s="4"/>
      <c r="L146">
        <f>IF(COUNT($F146:$K146)=0,"",ROUND(AVERAGE($F146:$K146),0))</f>
      </c>
      <c r="M146" s="4"/>
    </row>
    <row r="147">
      <c r="A147" s="2">
        <f>PLAN_180!$B147</f>
      </c>
      <c r="B147">
        <f>PLAN_180!$A147</f>
      </c>
      <c r="C147">
        <f>PLAN_180!$D147</f>
      </c>
      <c r="D147">
        <f>PLAN_180!$H147</f>
      </c>
      <c r="E147" s="4"/>
      <c r="F147" s="4"/>
      <c r="G147" s="4"/>
      <c r="H147" s="4"/>
      <c r="I147" s="4"/>
      <c r="J147" s="4"/>
      <c r="K147" s="4"/>
      <c r="L147">
        <f>IF(COUNT($F147:$K147)=0,"",ROUND(AVERAGE($F147:$K147),0))</f>
      </c>
      <c r="M147" s="4"/>
    </row>
    <row r="148">
      <c r="A148" s="2">
        <f>PLAN_180!$B148</f>
      </c>
      <c r="B148">
        <f>PLAN_180!$A148</f>
      </c>
      <c r="C148">
        <f>PLAN_180!$D148</f>
      </c>
      <c r="D148">
        <f>PLAN_180!$H148</f>
      </c>
      <c r="E148" s="4"/>
      <c r="F148" s="4"/>
      <c r="G148" s="4"/>
      <c r="H148" s="4"/>
      <c r="I148" s="4"/>
      <c r="J148" s="4"/>
      <c r="K148" s="4"/>
      <c r="L148">
        <f>IF(COUNT($F148:$K148)=0,"",ROUND(AVERAGE($F148:$K148),0))</f>
      </c>
      <c r="M148" s="4"/>
    </row>
    <row r="149">
      <c r="A149" s="2">
        <f>PLAN_180!$B149</f>
      </c>
      <c r="B149">
        <f>PLAN_180!$A149</f>
      </c>
      <c r="C149">
        <f>PLAN_180!$D149</f>
      </c>
      <c r="D149">
        <f>PLAN_180!$H149</f>
      </c>
      <c r="E149" s="4"/>
      <c r="F149" s="4"/>
      <c r="G149" s="4"/>
      <c r="H149" s="4"/>
      <c r="I149" s="4"/>
      <c r="J149" s="4"/>
      <c r="K149" s="4"/>
      <c r="L149">
        <f>IF(COUNT($F149:$K149)=0,"",ROUND(AVERAGE($F149:$K149),0))</f>
      </c>
      <c r="M149" s="4"/>
    </row>
    <row r="150">
      <c r="A150" s="2">
        <f>PLAN_180!$B150</f>
      </c>
      <c r="B150">
        <f>PLAN_180!$A150</f>
      </c>
      <c r="C150">
        <f>PLAN_180!$D150</f>
      </c>
      <c r="D150">
        <f>PLAN_180!$H150</f>
      </c>
      <c r="E150" s="4"/>
      <c r="F150" s="4"/>
      <c r="G150" s="4"/>
      <c r="H150" s="4"/>
      <c r="I150" s="4"/>
      <c r="J150" s="4"/>
      <c r="K150" s="4"/>
      <c r="L150">
        <f>IF(COUNT($F150:$K150)=0,"",ROUND(AVERAGE($F150:$K150),0))</f>
      </c>
      <c r="M150" s="4"/>
    </row>
    <row r="151">
      <c r="A151" s="2">
        <f>PLAN_180!$B151</f>
      </c>
      <c r="B151">
        <f>PLAN_180!$A151</f>
      </c>
      <c r="C151">
        <f>PLAN_180!$D151</f>
      </c>
      <c r="D151">
        <f>PLAN_180!$H151</f>
      </c>
      <c r="E151" s="4"/>
      <c r="F151" s="4"/>
      <c r="G151" s="4"/>
      <c r="H151" s="4"/>
      <c r="I151" s="4"/>
      <c r="J151" s="4"/>
      <c r="K151" s="4"/>
      <c r="L151">
        <f>IF(COUNT($F151:$K151)=0,"",ROUND(AVERAGE($F151:$K151),0))</f>
      </c>
      <c r="M151" s="4"/>
    </row>
    <row r="152">
      <c r="A152" s="2">
        <f>PLAN_180!$B152</f>
      </c>
      <c r="B152">
        <f>PLAN_180!$A152</f>
      </c>
      <c r="C152">
        <f>PLAN_180!$D152</f>
      </c>
      <c r="D152">
        <f>PLAN_180!$H152</f>
      </c>
      <c r="E152" s="4"/>
      <c r="F152" s="4"/>
      <c r="G152" s="4"/>
      <c r="H152" s="4"/>
      <c r="I152" s="4"/>
      <c r="J152" s="4"/>
      <c r="K152" s="4"/>
      <c r="L152">
        <f>IF(COUNT($F152:$K152)=0,"",ROUND(AVERAGE($F152:$K152),0))</f>
      </c>
      <c r="M152" s="4"/>
    </row>
    <row r="153">
      <c r="A153" s="2">
        <f>PLAN_180!$B153</f>
      </c>
      <c r="B153">
        <f>PLAN_180!$A153</f>
      </c>
      <c r="C153">
        <f>PLAN_180!$D153</f>
      </c>
      <c r="D153">
        <f>PLAN_180!$H153</f>
      </c>
      <c r="E153" s="4"/>
      <c r="F153" s="4"/>
      <c r="G153" s="4"/>
      <c r="H153" s="4"/>
      <c r="I153" s="4"/>
      <c r="J153" s="4"/>
      <c r="K153" s="4"/>
      <c r="L153">
        <f>IF(COUNT($F153:$K153)=0,"",ROUND(AVERAGE($F153:$K153),0))</f>
      </c>
      <c r="M153" s="4"/>
    </row>
    <row r="154">
      <c r="A154" s="2">
        <f>PLAN_180!$B154</f>
      </c>
      <c r="B154">
        <f>PLAN_180!$A154</f>
      </c>
      <c r="C154">
        <f>PLAN_180!$D154</f>
      </c>
      <c r="D154">
        <f>PLAN_180!$H154</f>
      </c>
      <c r="E154" s="4"/>
      <c r="F154" s="4"/>
      <c r="G154" s="4"/>
      <c r="H154" s="4"/>
      <c r="I154" s="4"/>
      <c r="J154" s="4"/>
      <c r="K154" s="4"/>
      <c r="L154">
        <f>IF(COUNT($F154:$K154)=0,"",ROUND(AVERAGE($F154:$K154),0))</f>
      </c>
      <c r="M154" s="4"/>
    </row>
    <row r="155">
      <c r="A155" s="2">
        <f>PLAN_180!$B155</f>
      </c>
      <c r="B155">
        <f>PLAN_180!$A155</f>
      </c>
      <c r="C155">
        <f>PLAN_180!$D155</f>
      </c>
      <c r="D155">
        <f>PLAN_180!$H155</f>
      </c>
      <c r="E155" s="4"/>
      <c r="F155" s="4"/>
      <c r="G155" s="4"/>
      <c r="H155" s="4"/>
      <c r="I155" s="4"/>
      <c r="J155" s="4"/>
      <c r="K155" s="4"/>
      <c r="L155">
        <f>IF(COUNT($F155:$K155)=0,"",ROUND(AVERAGE($F155:$K155),0))</f>
      </c>
      <c r="M155" s="4"/>
    </row>
    <row r="156">
      <c r="A156" s="2">
        <f>PLAN_180!$B156</f>
      </c>
      <c r="B156">
        <f>PLAN_180!$A156</f>
      </c>
      <c r="C156">
        <f>PLAN_180!$D156</f>
      </c>
      <c r="D156">
        <f>PLAN_180!$H156</f>
      </c>
      <c r="E156" s="4"/>
      <c r="F156" s="4"/>
      <c r="G156" s="4"/>
      <c r="H156" s="4"/>
      <c r="I156" s="4"/>
      <c r="J156" s="4"/>
      <c r="K156" s="4"/>
      <c r="L156">
        <f>IF(COUNT($F156:$K156)=0,"",ROUND(AVERAGE($F156:$K156),0))</f>
      </c>
      <c r="M156" s="4"/>
    </row>
    <row r="157">
      <c r="A157" s="2">
        <f>PLAN_180!$B157</f>
      </c>
      <c r="B157">
        <f>PLAN_180!$A157</f>
      </c>
      <c r="C157">
        <f>PLAN_180!$D157</f>
      </c>
      <c r="D157">
        <f>PLAN_180!$H157</f>
      </c>
      <c r="E157" s="4"/>
      <c r="F157" s="4"/>
      <c r="G157" s="4"/>
      <c r="H157" s="4"/>
      <c r="I157" s="4"/>
      <c r="J157" s="4"/>
      <c r="K157" s="4"/>
      <c r="L157">
        <f>IF(COUNT($F157:$K157)=0,"",ROUND(AVERAGE($F157:$K157),0))</f>
      </c>
      <c r="M157" s="4"/>
    </row>
    <row r="158">
      <c r="A158" s="2">
        <f>PLAN_180!$B158</f>
      </c>
      <c r="B158">
        <f>PLAN_180!$A158</f>
      </c>
      <c r="C158">
        <f>PLAN_180!$D158</f>
      </c>
      <c r="D158">
        <f>PLAN_180!$H158</f>
      </c>
      <c r="E158" s="4"/>
      <c r="F158" s="4"/>
      <c r="G158" s="4"/>
      <c r="H158" s="4"/>
      <c r="I158" s="4"/>
      <c r="J158" s="4"/>
      <c r="K158" s="4"/>
      <c r="L158">
        <f>IF(COUNT($F158:$K158)=0,"",ROUND(AVERAGE($F158:$K158),0))</f>
      </c>
      <c r="M158" s="4"/>
    </row>
    <row r="159">
      <c r="A159" s="2">
        <f>PLAN_180!$B159</f>
      </c>
      <c r="B159">
        <f>PLAN_180!$A159</f>
      </c>
      <c r="C159">
        <f>PLAN_180!$D159</f>
      </c>
      <c r="D159">
        <f>PLAN_180!$H159</f>
      </c>
      <c r="E159" s="4"/>
      <c r="F159" s="4"/>
      <c r="G159" s="4"/>
      <c r="H159" s="4"/>
      <c r="I159" s="4"/>
      <c r="J159" s="4"/>
      <c r="K159" s="4"/>
      <c r="L159">
        <f>IF(COUNT($F159:$K159)=0,"",ROUND(AVERAGE($F159:$K159),0))</f>
      </c>
      <c r="M159" s="4"/>
    </row>
    <row r="160">
      <c r="A160" s="2">
        <f>PLAN_180!$B160</f>
      </c>
      <c r="B160">
        <f>PLAN_180!$A160</f>
      </c>
      <c r="C160">
        <f>PLAN_180!$D160</f>
      </c>
      <c r="D160">
        <f>PLAN_180!$H160</f>
      </c>
      <c r="E160" s="4"/>
      <c r="F160" s="4"/>
      <c r="G160" s="4"/>
      <c r="H160" s="4"/>
      <c r="I160" s="4"/>
      <c r="J160" s="4"/>
      <c r="K160" s="4"/>
      <c r="L160">
        <f>IF(COUNT($F160:$K160)=0,"",ROUND(AVERAGE($F160:$K160),0))</f>
      </c>
      <c r="M160" s="4"/>
    </row>
    <row r="161">
      <c r="A161" s="2">
        <f>PLAN_180!$B161</f>
      </c>
      <c r="B161">
        <f>PLAN_180!$A161</f>
      </c>
      <c r="C161">
        <f>PLAN_180!$D161</f>
      </c>
      <c r="D161">
        <f>PLAN_180!$H161</f>
      </c>
      <c r="E161" s="4"/>
      <c r="F161" s="4"/>
      <c r="G161" s="4"/>
      <c r="H161" s="4"/>
      <c r="I161" s="4"/>
      <c r="J161" s="4"/>
      <c r="K161" s="4"/>
      <c r="L161">
        <f>IF(COUNT($F161:$K161)=0,"",ROUND(AVERAGE($F161:$K161),0))</f>
      </c>
      <c r="M161" s="4"/>
    </row>
    <row r="162">
      <c r="A162" s="2">
        <f>PLAN_180!$B162</f>
      </c>
      <c r="B162">
        <f>PLAN_180!$A162</f>
      </c>
      <c r="C162">
        <f>PLAN_180!$D162</f>
      </c>
      <c r="D162">
        <f>PLAN_180!$H162</f>
      </c>
      <c r="E162" s="4"/>
      <c r="F162" s="4"/>
      <c r="G162" s="4"/>
      <c r="H162" s="4"/>
      <c r="I162" s="4"/>
      <c r="J162" s="4"/>
      <c r="K162" s="4"/>
      <c r="L162">
        <f>IF(COUNT($F162:$K162)=0,"",ROUND(AVERAGE($F162:$K162),0))</f>
      </c>
      <c r="M162" s="4"/>
    </row>
    <row r="163">
      <c r="A163" s="2">
        <f>PLAN_180!$B163</f>
      </c>
      <c r="B163">
        <f>PLAN_180!$A163</f>
      </c>
      <c r="C163">
        <f>PLAN_180!$D163</f>
      </c>
      <c r="D163">
        <f>PLAN_180!$H163</f>
      </c>
      <c r="E163" s="4"/>
      <c r="F163" s="4"/>
      <c r="G163" s="4"/>
      <c r="H163" s="4"/>
      <c r="I163" s="4"/>
      <c r="J163" s="4"/>
      <c r="K163" s="4"/>
      <c r="L163">
        <f>IF(COUNT($F163:$K163)=0,"",ROUND(AVERAGE($F163:$K163),0))</f>
      </c>
      <c r="M163" s="4"/>
    </row>
    <row r="164">
      <c r="A164" s="2">
        <f>PLAN_180!$B164</f>
      </c>
      <c r="B164">
        <f>PLAN_180!$A164</f>
      </c>
      <c r="C164">
        <f>PLAN_180!$D164</f>
      </c>
      <c r="D164">
        <f>PLAN_180!$H164</f>
      </c>
      <c r="E164" s="4"/>
      <c r="F164" s="4"/>
      <c r="G164" s="4"/>
      <c r="H164" s="4"/>
      <c r="I164" s="4"/>
      <c r="J164" s="4"/>
      <c r="K164" s="4"/>
      <c r="L164">
        <f>IF(COUNT($F164:$K164)=0,"",ROUND(AVERAGE($F164:$K164),0))</f>
      </c>
      <c r="M164" s="4"/>
    </row>
    <row r="165">
      <c r="A165" s="2">
        <f>PLAN_180!$B165</f>
      </c>
      <c r="B165">
        <f>PLAN_180!$A165</f>
      </c>
      <c r="C165">
        <f>PLAN_180!$D165</f>
      </c>
      <c r="D165">
        <f>PLAN_180!$H165</f>
      </c>
      <c r="E165" s="4"/>
      <c r="F165" s="4"/>
      <c r="G165" s="4"/>
      <c r="H165" s="4"/>
      <c r="I165" s="4"/>
      <c r="J165" s="4"/>
      <c r="K165" s="4"/>
      <c r="L165">
        <f>IF(COUNT($F165:$K165)=0,"",ROUND(AVERAGE($F165:$K165),0))</f>
      </c>
      <c r="M165" s="4"/>
    </row>
    <row r="166">
      <c r="A166" s="2">
        <f>PLAN_180!$B166</f>
      </c>
      <c r="B166">
        <f>PLAN_180!$A166</f>
      </c>
      <c r="C166">
        <f>PLAN_180!$D166</f>
      </c>
      <c r="D166">
        <f>PLAN_180!$H166</f>
      </c>
      <c r="E166" s="4"/>
      <c r="F166" s="4"/>
      <c r="G166" s="4"/>
      <c r="H166" s="4"/>
      <c r="I166" s="4"/>
      <c r="J166" s="4"/>
      <c r="K166" s="4"/>
      <c r="L166">
        <f>IF(COUNT($F166:$K166)=0,"",ROUND(AVERAGE($F166:$K166),0))</f>
      </c>
      <c r="M166" s="4"/>
    </row>
    <row r="167">
      <c r="A167" s="2">
        <f>PLAN_180!$B167</f>
      </c>
      <c r="B167">
        <f>PLAN_180!$A167</f>
      </c>
      <c r="C167">
        <f>PLAN_180!$D167</f>
      </c>
      <c r="D167">
        <f>PLAN_180!$H167</f>
      </c>
      <c r="E167" s="4"/>
      <c r="F167" s="4"/>
      <c r="G167" s="4"/>
      <c r="H167" s="4"/>
      <c r="I167" s="4"/>
      <c r="J167" s="4"/>
      <c r="K167" s="4"/>
      <c r="L167">
        <f>IF(COUNT($F167:$K167)=0,"",ROUND(AVERAGE($F167:$K167),0))</f>
      </c>
      <c r="M167" s="4"/>
    </row>
    <row r="168">
      <c r="A168" s="2">
        <f>PLAN_180!$B168</f>
      </c>
      <c r="B168">
        <f>PLAN_180!$A168</f>
      </c>
      <c r="C168">
        <f>PLAN_180!$D168</f>
      </c>
      <c r="D168">
        <f>PLAN_180!$H168</f>
      </c>
      <c r="E168" s="4"/>
      <c r="F168" s="4"/>
      <c r="G168" s="4"/>
      <c r="H168" s="4"/>
      <c r="I168" s="4"/>
      <c r="J168" s="4"/>
      <c r="K168" s="4"/>
      <c r="L168">
        <f>IF(COUNT($F168:$K168)=0,"",ROUND(AVERAGE($F168:$K168),0))</f>
      </c>
      <c r="M168" s="4"/>
    </row>
    <row r="169">
      <c r="A169" s="2">
        <f>PLAN_180!$B169</f>
      </c>
      <c r="B169">
        <f>PLAN_180!$A169</f>
      </c>
      <c r="C169">
        <f>PLAN_180!$D169</f>
      </c>
      <c r="D169">
        <f>PLAN_180!$H169</f>
      </c>
      <c r="E169" s="4"/>
      <c r="F169" s="4"/>
      <c r="G169" s="4"/>
      <c r="H169" s="4"/>
      <c r="I169" s="4"/>
      <c r="J169" s="4"/>
      <c r="K169" s="4"/>
      <c r="L169">
        <f>IF(COUNT($F169:$K169)=0,"",ROUND(AVERAGE($F169:$K169),0))</f>
      </c>
      <c r="M169" s="4"/>
    </row>
    <row r="170">
      <c r="A170" s="2">
        <f>PLAN_180!$B170</f>
      </c>
      <c r="B170">
        <f>PLAN_180!$A170</f>
      </c>
      <c r="C170">
        <f>PLAN_180!$D170</f>
      </c>
      <c r="D170">
        <f>PLAN_180!$H170</f>
      </c>
      <c r="E170" s="4"/>
      <c r="F170" s="4"/>
      <c r="G170" s="4"/>
      <c r="H170" s="4"/>
      <c r="I170" s="4"/>
      <c r="J170" s="4"/>
      <c r="K170" s="4"/>
      <c r="L170">
        <f>IF(COUNT($F170:$K170)=0,"",ROUND(AVERAGE($F170:$K170),0))</f>
      </c>
      <c r="M170" s="4"/>
    </row>
    <row r="171">
      <c r="A171" s="2">
        <f>PLAN_180!$B171</f>
      </c>
      <c r="B171">
        <f>PLAN_180!$A171</f>
      </c>
      <c r="C171">
        <f>PLAN_180!$D171</f>
      </c>
      <c r="D171">
        <f>PLAN_180!$H171</f>
      </c>
      <c r="E171" s="4"/>
      <c r="F171" s="4"/>
      <c r="G171" s="4"/>
      <c r="H171" s="4"/>
      <c r="I171" s="4"/>
      <c r="J171" s="4"/>
      <c r="K171" s="4"/>
      <c r="L171">
        <f>IF(COUNT($F171:$K171)=0,"",ROUND(AVERAGE($F171:$K171),0))</f>
      </c>
      <c r="M171" s="4"/>
    </row>
    <row r="172">
      <c r="A172" s="2">
        <f>PLAN_180!$B172</f>
      </c>
      <c r="B172">
        <f>PLAN_180!$A172</f>
      </c>
      <c r="C172">
        <f>PLAN_180!$D172</f>
      </c>
      <c r="D172">
        <f>PLAN_180!$H172</f>
      </c>
      <c r="E172" s="4"/>
      <c r="F172" s="4"/>
      <c r="G172" s="4"/>
      <c r="H172" s="4"/>
      <c r="I172" s="4"/>
      <c r="J172" s="4"/>
      <c r="K172" s="4"/>
      <c r="L172">
        <f>IF(COUNT($F172:$K172)=0,"",ROUND(AVERAGE($F172:$K172),0))</f>
      </c>
      <c r="M172" s="4"/>
    </row>
    <row r="173">
      <c r="A173" s="2">
        <f>PLAN_180!$B173</f>
      </c>
      <c r="B173">
        <f>PLAN_180!$A173</f>
      </c>
      <c r="C173">
        <f>PLAN_180!$D173</f>
      </c>
      <c r="D173">
        <f>PLAN_180!$H173</f>
      </c>
      <c r="E173" s="4"/>
      <c r="F173" s="4"/>
      <c r="G173" s="4"/>
      <c r="H173" s="4"/>
      <c r="I173" s="4"/>
      <c r="J173" s="4"/>
      <c r="K173" s="4"/>
      <c r="L173">
        <f>IF(COUNT($F173:$K173)=0,"",ROUND(AVERAGE($F173:$K173),0))</f>
      </c>
      <c r="M173" s="4"/>
    </row>
    <row r="174">
      <c r="A174" s="2">
        <f>PLAN_180!$B174</f>
      </c>
      <c r="B174">
        <f>PLAN_180!$A174</f>
      </c>
      <c r="C174">
        <f>PLAN_180!$D174</f>
      </c>
      <c r="D174">
        <f>PLAN_180!$H174</f>
      </c>
      <c r="E174" s="4"/>
      <c r="F174" s="4"/>
      <c r="G174" s="4"/>
      <c r="H174" s="4"/>
      <c r="I174" s="4"/>
      <c r="J174" s="4"/>
      <c r="K174" s="4"/>
      <c r="L174">
        <f>IF(COUNT($F174:$K174)=0,"",ROUND(AVERAGE($F174:$K174),0))</f>
      </c>
      <c r="M174" s="4"/>
    </row>
    <row r="175">
      <c r="A175" s="2">
        <f>PLAN_180!$B175</f>
      </c>
      <c r="B175">
        <f>PLAN_180!$A175</f>
      </c>
      <c r="C175">
        <f>PLAN_180!$D175</f>
      </c>
      <c r="D175">
        <f>PLAN_180!$H175</f>
      </c>
      <c r="E175" s="4"/>
      <c r="F175" s="4"/>
      <c r="G175" s="4"/>
      <c r="H175" s="4"/>
      <c r="I175" s="4"/>
      <c r="J175" s="4"/>
      <c r="K175" s="4"/>
      <c r="L175">
        <f>IF(COUNT($F175:$K175)=0,"",ROUND(AVERAGE($F175:$K175),0))</f>
      </c>
      <c r="M175" s="4"/>
    </row>
    <row r="176">
      <c r="A176" s="2">
        <f>PLAN_180!$B176</f>
      </c>
      <c r="B176">
        <f>PLAN_180!$A176</f>
      </c>
      <c r="C176">
        <f>PLAN_180!$D176</f>
      </c>
      <c r="D176">
        <f>PLAN_180!$H176</f>
      </c>
      <c r="E176" s="4"/>
      <c r="F176" s="4"/>
      <c r="G176" s="4"/>
      <c r="H176" s="4"/>
      <c r="I176" s="4"/>
      <c r="J176" s="4"/>
      <c r="K176" s="4"/>
      <c r="L176">
        <f>IF(COUNT($F176:$K176)=0,"",ROUND(AVERAGE($F176:$K176),0))</f>
      </c>
      <c r="M176" s="4"/>
    </row>
    <row r="177">
      <c r="A177" s="2">
        <f>PLAN_180!$B177</f>
      </c>
      <c r="B177">
        <f>PLAN_180!$A177</f>
      </c>
      <c r="C177">
        <f>PLAN_180!$D177</f>
      </c>
      <c r="D177">
        <f>PLAN_180!$H177</f>
      </c>
      <c r="E177" s="4"/>
      <c r="F177" s="4"/>
      <c r="G177" s="4"/>
      <c r="H177" s="4"/>
      <c r="I177" s="4"/>
      <c r="J177" s="4"/>
      <c r="K177" s="4"/>
      <c r="L177">
        <f>IF(COUNT($F177:$K177)=0,"",ROUND(AVERAGE($F177:$K177),0))</f>
      </c>
      <c r="M177" s="4"/>
    </row>
    <row r="178">
      <c r="A178" s="2">
        <f>PLAN_180!$B178</f>
      </c>
      <c r="B178">
        <f>PLAN_180!$A178</f>
      </c>
      <c r="C178">
        <f>PLAN_180!$D178</f>
      </c>
      <c r="D178">
        <f>PLAN_180!$H178</f>
      </c>
      <c r="E178" s="4"/>
      <c r="F178" s="4"/>
      <c r="G178" s="4"/>
      <c r="H178" s="4"/>
      <c r="I178" s="4"/>
      <c r="J178" s="4"/>
      <c r="K178" s="4"/>
      <c r="L178">
        <f>IF(COUNT($F178:$K178)=0,"",ROUND(AVERAGE($F178:$K178),0))</f>
      </c>
      <c r="M178" s="4"/>
    </row>
    <row r="179">
      <c r="A179" s="2">
        <f>PLAN_180!$B179</f>
      </c>
      <c r="B179">
        <f>PLAN_180!$A179</f>
      </c>
      <c r="C179">
        <f>PLAN_180!$D179</f>
      </c>
      <c r="D179">
        <f>PLAN_180!$H179</f>
      </c>
      <c r="E179" s="4"/>
      <c r="F179" s="4"/>
      <c r="G179" s="4"/>
      <c r="H179" s="4"/>
      <c r="I179" s="4"/>
      <c r="J179" s="4"/>
      <c r="K179" s="4"/>
      <c r="L179">
        <f>IF(COUNT($F179:$K179)=0,"",ROUND(AVERAGE($F179:$K179),0))</f>
      </c>
      <c r="M179" s="4"/>
    </row>
    <row r="180">
      <c r="A180" s="2">
        <f>PLAN_180!$B180</f>
      </c>
      <c r="B180">
        <f>PLAN_180!$A180</f>
      </c>
      <c r="C180">
        <f>PLAN_180!$D180</f>
      </c>
      <c r="D180">
        <f>PLAN_180!$H180</f>
      </c>
      <c r="E180" s="4"/>
      <c r="F180" s="4"/>
      <c r="G180" s="4"/>
      <c r="H180" s="4"/>
      <c r="I180" s="4"/>
      <c r="J180" s="4"/>
      <c r="K180" s="4"/>
      <c r="L180">
        <f>IF(COUNT($F180:$K180)=0,"",ROUND(AVERAGE($F180:$K180),0))</f>
      </c>
      <c r="M180" s="4"/>
    </row>
    <row r="181">
      <c r="A181" s="2">
        <f>PLAN_180!$B181</f>
      </c>
      <c r="B181">
        <f>PLAN_180!$A181</f>
      </c>
      <c r="C181">
        <f>PLAN_180!$D181</f>
      </c>
      <c r="D181">
        <f>PLAN_180!$H181</f>
      </c>
      <c r="E181" s="4"/>
      <c r="F181" s="4"/>
      <c r="G181" s="4"/>
      <c r="H181" s="4"/>
      <c r="I181" s="4"/>
      <c r="J181" s="4"/>
      <c r="K181" s="4"/>
      <c r="L181">
        <f>IF(COUNT($F181:$K181)=0,"",ROUND(AVERAGE($F181:$K181),0))</f>
      </c>
      <c r="M181" s="4"/>
    </row>
  </sheetData>
  <autoFilter ref="A1:M181"/>
  <dataValidations count="1">
    <dataValidation type="list" allowBlank="1" showInputMessage="1" showErrorMessage="1" sqref="E2:E181">
      <formula1>"Yes,No"</formula1>
    </dataValidation>
  </dataValidations>
  <pageMargins left="0.4" right="0.4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Grammax roadmap builder</Application>
  <TitlesOfParts>
    <vt:vector size="10" baseType="lpstr">
      <vt:lpstr>README</vt:lpstr>
      <vt:lpstr>TODAY</vt:lpstr>
      <vt:lpstr>PLAN_180</vt:lpstr>
      <vt:lpstr>VOCAB</vt:lpstr>
      <vt:lpstr>DUE</vt:lpstr>
      <vt:lpstr>GRAMMAR</vt:lpstr>
      <vt:lpstr>CURRICULUM</vt:lpstr>
      <vt:lpstr>EXERCISES</vt:lpstr>
      <vt:lpstr>RESOURCES</vt:lpstr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English Roadmap 180 — Mất gốc → B1</dc:title>
  <dc:subject>180 ngày A0 A1 A2 B1</dc:subject>
  <dc:creator>scripts/build-roadmap.mjs</dc:creator>
  <dcterms:created xsi:type="dcterms:W3CDTF">2026-10-05T00:00:00Z</dcterms:created>
  <dcterms:modified xsi:type="dcterms:W3CDTF">2026-10-05T00:00:00Z</dcterms:modified>
  <cp:description>Sinh từ data/roadmap/*.json — 180 ngày học.</cp:description>
</cp:coreProperties>
</file>